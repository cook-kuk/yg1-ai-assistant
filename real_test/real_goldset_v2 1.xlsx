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 documentId="11_A945A41FC449DA96F9AD90C62361FAA0E02AFC7C" xr6:coauthVersionLast="47" xr6:coauthVersionMax="47" xr10:uidLastSave="{134AFA26-7264-4804-94A3-D72C73A69B4D}"/>
  <bookViews>
    <workbookView xWindow="0" yWindow="0" windowWidth="0" windowHeight="0" xr2:uid="{00000000-000D-0000-FFFF-FFFF00000000}"/>
  </bookViews>
  <sheets>
    <sheet name="📘 읽어주세요" sheetId="1" r:id="rId1"/>
    <sheet name="✅ 컨펌 시트" sheetId="2" r:id="rId2"/>
    <sheet name="🔍 상세 데이터" sheetId="3" state="hidden" r:id="rId3"/>
    <sheet name="📊 통계" sheetId="4" r:id="rId4"/>
  </sheets>
  <definedNames>
    <definedName name="_xlnm._FilterDatabase" localSheetId="1" hidden="1">'✅ 컨펌 시트'!$A$3:$M$204</definedName>
    <definedName name="_xlnm._FilterDatabase" localSheetId="2" hidden="1">'🔍 상세 데이터'!$A$1:$M$202</definedName>
    <definedName name="_xlnm.Print_Titles" localSheetId="1">'✅ 컨펌 시트'!$1:$3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4" l="1"/>
  <c r="C22" i="4"/>
  <c r="D19" i="4"/>
  <c r="C19" i="4"/>
  <c r="D18" i="4"/>
  <c r="C18" i="4"/>
  <c r="D17" i="4"/>
  <c r="C17" i="4"/>
  <c r="D16" i="4"/>
  <c r="C16" i="4"/>
  <c r="E1" i="2"/>
</calcChain>
</file>

<file path=xl/sharedStrings.xml><?xml version="1.0" encoding="utf-8"?>
<sst xmlns="http://schemas.openxmlformats.org/spreadsheetml/2006/main" count="3611" uniqueCount="1820">
  <si>
    <t>YG-1 AI assistant 실사용자 데이터 Gold Set — 검토 요청</t>
  </si>
  <si>
    <t>실사용자 피드백 + 전문가 리뷰 총 201건 — 아래 가이드대로 3열 체크만 하시면 됩니다</t>
  </si>
  <si>
    <t>🚀  초간단 사용법 (3단계)</t>
  </si>
  <si>
    <t>1.  "✅ 컨펌 시트" 탭 이동</t>
  </si>
  <si>
    <t>2.  각 행의 E(한줄 요약) → G(정답 action) 만 읽어보기</t>
  </si>
  <si>
    <t>3.  I(⭕) / J(❌) / K(❓) 3개 셀 중 하나에 "V" 한 글자 입력 → Enter</t>
  </si>
  <si>
    <t>끝. 드롭다운 없음, 마우스 최소. V 한 글자만 치면 자동으로 색칠되고 통계 반영</t>
  </si>
  <si>
    <t>💡  판단 기준</t>
  </si>
  <si>
    <t>⭕  Gold 인정  — 정답 action이 타당 / 대화가 학습 가치 있음</t>
  </si>
  <si>
    <t>❌  제외       — 정답 action이 엉뚱 / 의미 없는 대화</t>
  </si>
  <si>
    <t>❓  보류       — 추가 확인 필요</t>
  </si>
  <si>
    <t>📝  정답 action 이란?</t>
  </si>
  <si>
    <t>당시 모델 추천은 부정확했을 수 있습니다.</t>
  </si>
  <si>
    <t>실제 대화를 LLM이 다시 분석해서 "지금 기준의 정답 행동"을 G열에 제안했습니다.</t>
  </si>
  <si>
    <t>이 제안이 맞다 싶으면 ⭕, 엉뚱하면 ❌ 로 판단해주세요.</t>
  </si>
  <si>
    <t>⚡  팁</t>
  </si>
  <si>
    <t>• E(한줄 요약) 만 읽어도 대부분 판단 가능</t>
  </si>
  <si>
    <t>• 자세히 볼 때만 F(대화 전문) 확장</t>
  </si>
  <si>
    <t>• L(검토 메모)은 자주 쓰는 문구 프리셋 제공</t>
  </si>
  <si>
    <t>• 첫 행(1행)에 실시간 진행률 자동 표시</t>
  </si>
  <si>
    <t>• 예상 소요: 201건 × 20초 ≈ 67분</t>
  </si>
  <si>
    <t>📊  현재 선별 구성</t>
  </si>
  <si>
    <t xml:space="preserve">  E  </t>
  </si>
  <si>
    <t>📝 전문가 리뷰 (3001 코멘트)</t>
  </si>
  <si>
    <t>38 건</t>
  </si>
  <si>
    <t xml:space="preserve">  A+  </t>
  </si>
  <si>
    <t>최고품질 (success_case / userComment)</t>
  </si>
  <si>
    <t>1 건</t>
  </si>
  <si>
    <t xml:space="preserve">  A  </t>
  </si>
  <si>
    <t>멀티턴 성공 (👍 + narrowing 2+)</t>
  </si>
  <si>
    <t>114 건</t>
  </si>
  <si>
    <t xml:space="preserve">  B  </t>
  </si>
  <si>
    <t>멀티턴 실패 (👎 + narrowing, 학습 가치)</t>
  </si>
  <si>
    <t>48 건</t>
  </si>
  <si>
    <t xml:space="preserve">  총계  </t>
  </si>
  <si>
    <t>201 건</t>
  </si>
  <si>
    <t>※ 이 파일은 편집 가능. "✅ 컨펌 시트" 의 I/J/K 셀에 V 한 글자만 입력.</t>
  </si>
  <si>
    <t>실시간 진행률 ▶</t>
  </si>
  <si>
    <t>각 셀에 V 한 글자 → Enter</t>
  </si>
  <si>
    <t>메모 (드롭다운에서 선택 가능)</t>
  </si>
  <si>
    <t>식별 정보</t>
  </si>
  <si>
    <t>대화 · 정답 · 코멘트</t>
  </si>
  <si>
    <t>🗳️ 판정 (V 한 글자)</t>
  </si>
  <si>
    <t>메모 · 참고</t>
  </si>
  <si>
    <t>No</t>
  </si>
  <si>
    <t>case_id</t>
  </si>
  <si>
    <t>티어</t>
  </si>
  <si>
    <t>이모지</t>
  </si>
  <si>
    <t>📝 한줄 요약</t>
  </si>
  <si>
    <t>💬 대화 전문</t>
  </si>
  <si>
    <t>🎯 정답 action (제안)</t>
  </si>
  <si>
    <t>💬 사용자 피드백</t>
  </si>
  <si>
    <t>⭕
(인정)</t>
  </si>
  <si>
    <t>❌
(제외)</t>
  </si>
  <si>
    <t>❓
(보류)</t>
  </si>
  <si>
    <t>✍️ 검토 메모</t>
  </si>
  <si>
    <t>원본 추적</t>
  </si>
  <si>
    <t>RLH-0001</t>
  </si>
  <si>
    <t>E</t>
  </si>
  <si>
    <t>📝</t>
  </si>
  <si>
    <t>국내 구매용이면 해외 말고 국산 추천 원함</t>
  </si>
  <si>
    <t>🧭 초기 조건: 문의 목적=신규 제품 추천 / 피삭재 (소재)=알루미늄 / 가공 형상=정면가공 / 🎚️ 가공 성격=중삭 / 공구 타입 / 현재 제품=엔드밀 / 공구 직경=6mm
🤖 AI assistant: 알루미늄 정면 중삭용 φ6mm 엔드밀이시군요. 현재 363개 후보가 있습니다.
코팅 종류 선호가 있으신가요? Bright Finish(무코팅), Diamond, DLC, X-Coating 등이 있습니다.
  [선택지: Bright Finish (155개) | Diamond (88개) | DLC (37개) | X-Coating (26개) | 상관없음]</t>
  </si>
  <si>
    <t>🎯 의도: 한국(국가지정) 구매 고객에게 국내 제품이 우선 추천되게 함
✅ 정답 행동: 사용자가 한국 구매를 전제로 하므로 추천 후보를 국내 제품 중심으로 필터링해 제시해야 함. 해외 제품이 포함되지 않도록 목록/선택지를 조정하고, 필요 시 “국내 제품만 보기” 옵션을 안내해야 함.
⚠️ 당시 문제: 해외 제품 후보를 국내 구매 맥락에 맞게 필터링하지 않음
💬 코멘트 분석: 한국 고객에게는 추천 후보가 국내 제품으로 나오도록 해달라는 요구임</t>
  </si>
  <si>
    <t>[한지희] 한국(국가지정)에서 구매하려는 고객에게는
오른쪽의 추천후보에 국내 제품이 추천되도록 해주세요.
(캡쳐한 이미지는 해외제품임)</t>
  </si>
  <si>
    <t>fb-1773990439649-e32b72ae</t>
  </si>
  <si>
    <t>RLH-0002</t>
  </si>
  <si>
    <t>고경도강용 φ6 엔드밀 추천과 피삭재 적합성 문의</t>
  </si>
  <si>
    <t>🧭 초기 조건: 문의 목적=신규 제품 추천 / 피삭재 (소재)=고경도강 / 가공 형상=측면가공 / 공구 타입 / 현재 제품=엔드밀 / 공구 직경=6mm
🤖 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
  [선택지: SEME73 — 4G MILL 4 Flute&lt;br/&gt;30°Helix Rib End mill (61개) | SEME71 — 4G MILL 4 Flute&lt;br/&gt;Multiple Helix End mill (40개) | SEME67 — 4G MILL 4 Flute&lt;br/&gt;38°Helix Long Neck&lt;br/&gt;Corner Radius End mill (24개) | SEME69 — 4G MILL 2 Flute&lt;br/&gt;30°Helix End mill (20개) | 상관없음]
👤 사용자: 이 제품들은 어떤 피삭재에 사용하기 적합해?
🤖 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(SG9E76)**은 모두 범용성이 뛰어나며, 특히 알루미늄부터 강재까지 폭넓게 사용 가능한 코팅입니다.
더 정확한 추천을 위해 **가공하실 피삭재의 종류**를 알려주시면, 그에 최적화된 제품을 좁혀서 추천해드릴 수 있습니다! 😊
[Reference: YG-1 내부 DB]
  [선택지: 후보 제품 보기 | 절삭조건 문의 | 코팅 비교 | 처음부터 다시]</t>
  </si>
  <si>
    <t>🎯 의도: 고경도강 측면가공에 맞는 φ6 엔드밀과 적용 피삭재를 알고 싶음
✅ 정답 행동: 고경도강 전용 제품 기준으로 추천해야 하며, 후보에 있는 4G MILL이 아니라 x5070 등 고경도강 전용 브랜드를 우선 제시했어야 함. 사용자가 적합 피삭재를 물었으므로 해당 공구가 어떤 경도 범위/재질(HRC 고경도강 등)에 맞는지 정확히 설명하고, 필요 시 대체 후보도 함께 안내해야 함.
⚠️ 당시 문제: 중경도강 위주의 4G MILL 기준으로 답변해 고경도강 전용 추천을 놓침
💬 코멘트 분석: 고경도강 전용 브랜드(x5070) 기준으로 다시 추천해달라는 요구임</t>
  </si>
  <si>
    <t>[김도성]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</si>
  <si>
    <t>fb-1774221970051-d94864c3</t>
  </si>
  <si>
    <t>RLH-0003</t>
  </si>
  <si>
    <t>목록에 없는 #9·#10 비교를 요청함</t>
  </si>
  <si>
    <t>🧭 초기 조건: 문의 목적=신규 제품 추천 / 피삭재 (소재)=고경도강 / 가공 형상=슬롯 / 공구 타입 / 현재 제품=엔드밀 / 공구 직경=4mm
🤖 AI assistant: 고경도강 4mm 슬롯 가공용 엔드밀이시군요. 현재 248개 제품이 매칭됩니다. 날 수 선호가 있으신가요? (2날/4날이 가장 많습니다)
  [선택지: 2날 (115개) | 4날 (104개) | 3날 (16개) | 6날 (13개) | 상관없음]
👤 사용자: 4날 (104개)
🤖 AI assistant: 고경도강 슬롯 가공이면 Y-Coating이 내마모성이 좋아 추천합니다. 다른 코팅(TiAlN, Blue-Coating 등)을 원하시나요?
  [선택지: T-Coating (181개) | Y-Coating (81개) | TiAlN (50개) | Blue-Coating (17개) | 상관없음]
👤 사용자: Y-Coating (81개)
🤖 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 필요)
  [선택지: 대체 후보 9개 보기 | 절삭조건 알려줘 | 코팅 비교 | 다른 직경 검색 | 처음부터 다시]
👤 사용자: #1번과 #2번 대상을 비교해줘
🤖 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 장날 엔드밀)**
- ✅ Long 타입으로 깊은 홈 가공에 유리
- ✅ 30° 비틀림각으로 안정적인 칩 배출
- ⚠️ Ball 형상이 아니므로 곡면 가공 불가
**GMG55040 (V7 PLUS 볼 엔드밀)**
- ✅ Ball End 형상으로 3D 곡면 가공 가능
- ✅ S소재(내열합금) 추가 지원
- ✅ Multiple Helix로 진동 감소
- ⚠️ Regular 길이로 깊은 홈 가공에는 제한적
---
### 추천 결론
- **깊은 홈/측면 가공** → **GYG02040** (Long 타입, 30° 헬릭스)
- **3D 곡면/금형 가공** → **GMG55040** (Ball End, 다중 헬릭스)
- **내열합금(S) 가공** → **GMG55040** (소재 범위 더 넓음)
[Reference: YG-1 내부 DB]
  [선택지: 추천해주세요 | 다른 조건으로 | ⟵ 이전 단계 | 처음부터 다시]
👤 사용자: 추천해주세요
🤖 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
  [선택지: 대체 후보 9개 보기 | 절삭조건 알려줘 | 코팅 비교 | 다른 직경 검색 | 처음부터 다시]
👤 사용자: #9번과 #10번의 차이는
🤖 AI assistant: 현재 화면에 표시된 제품은 #1~#5번까지입니다. #9번과 #10번 제품은 현재 목록에 보이지 않습니다.
만약 "대체 후보 9개 보기"" 버튼을 눌러 추가 제품을 확인하신 후에 #9번과 #10번을 비교하고 싶으시다면</t>
  </si>
  <si>
    <t>🎯 의도: 검색 결과의 #9번과 #10번 제품 차이를 비교하고 싶음
✅ 정답 행동: 현재 화면에 보이는 목록 밖 번호를 언급했더라도, 검색 결과/페이지에 실제 존재하는지 먼저 확인해 안내해야 함. 보이지 않는다면 "현재 목록에 없음"이라고만 하지 말고, 대체 후보를 열어 해당 번호를 확인하거나 현재 표시된 제품 중 비교 가능 항목을 제시해야 함.
⚠️ 당시 문제: 화면에 검색 결과값이 있는데도 목록에 없다고 단정해 혼선 발생
💬 코멘트 분석: 검색 결과는 존재하는데 목록에 없다고 표시되는 UI/응답 불일치가 핵심 불만임</t>
  </si>
  <si>
    <t>[김명곤] 화면상의 검색 결과값이 존재하나 목록에 존재하지 않는다고 표시됨.</t>
  </si>
  <si>
    <t>fb-1774222658008-bab4a851</t>
  </si>
  <si>
    <t>RLH-0004</t>
  </si>
  <si>
    <t>고경도강용 엔드밀/코팅 추천 오류를 지적</t>
  </si>
  <si>
    <t>🧭 초기 조건: 문의 목적=신규 제품 추천 / 피삭재 (소재)=고경도강 / 가공 형상=측면가공 / 공구 타입 / 현재 제품=엔드밀 / 공구 직경=6mm
🤖 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
  [선택지: SEME73 — 4G MILL 4 Flute&lt;br/&gt;30°Helix Rib End mill (61개) | SEME71 — 4G MILL 4 Flute&lt;br/&gt;Multiple Helix End mill (40개) | SEME67 — 4G MILL 4 Flute&lt;br/&gt;38°Helix Long Neck&lt;br/&gt;Corner Radius End mill (24개) | SEME69 — 4G MILL 2 Flute&lt;br/&gt;30°Helix End mill (20개) | 상관없음]
👤 사용자: 이 제품들은 어떤 피삭재에 사용하기 적합해?
🤖 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(SG9E76)**은 모두 범용성이 뛰어나며, 특히 알루미늄부터 강재까지 폭넓게 사용 가능한 코팅입니다.
더 정확한 추천을 위해 **가공하실 피삭재의 종류**를 알려주시면, 그에 최적화된 제품을 좁혀서 추천해드릴 수 있습니다! 😊
[Reference: YG-1 내부 DB]
  [선택지: 후보 제품 보기 | 절삭조건 문의 | 코팅 비교 | 처음부터 다시]
👤 사용자: 고경도강전용 제품의 코팅은 어떤 코팅을 적용하고 있어?
🤖 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
- X-Coating, Blue-Coating: 고경도 소재 가공 성능 강화
현재 표시된 상위 제품들(#1~#4 Blue-Coating, #5 X-Coating)이 바로 이러한 코팅이 적용된 제품입니다.
[Reference: AI 지식 추론 + YG-1 제품 카탈로그 일반 정보]
  [선택지: 코팅별 적합 소재 | 무코팅 vs DLC | 소재별 추천 코팅 | 제품 추천]
👤 사용자: 추천해준 고경도강 제품의 코팅이 어떤 코팅인지 물어본거야
🤖 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
  [선택지: 코팅별 적합 소재 | 무코팅 vs DLC | 소재별 추천 코팅 | 제품 추천]
👤 사용자: X-Coating이 진짜 고경도강 가공용 코팅이 맞아?
🤖 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
  [선택지: SEME73 — 4G MILL 4 Flute&lt;br/&gt;30°Helix Rib End mill (61개) | SEME71 — 4G MILL 4 Flute&lt;br/&gt;Multiple Helix End mill (40개) | SEME67 — 4G MILL 4 Flute&lt;br/&gt;38°Helix Long Neck&lt;br/&gt;Corner Radius End mill (24개) | SEME69 — 4G MILL 2 Flute&lt;br/&gt;30°Helix End mill (20개) | 상관없음]
👤 사용자: X-Coating은 YG-1의 고경도강 가공 전용 코팅 기술입니다.
일반 코팅 대비 뛰어난 내마모성과 높은 경도를 가지고 있어 HRC 55~70 범위의 고경도 소재 가공에 최적화되어 있습니다. 
이 답변에 대한 근거알려줘
🤖 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
### ⚠️ 주의사항
- 구체적인 코팅 조성(화학식)이나 층 구조는 YG-1의 영업 기밀일 수 있습니다
- 정확한 성능 데이터는 YG-1 공식 카탈로그나 기술 지원팀 확인 권장
**[Reference: YG-1 내부 DB + 절삭공구 업계 표준 지식]**
추가로 궁금하신 코팅 기술이나 다른 사양이 있으신가요?
  [선택지: 코팅별 적합 소재 | 무코팅 vs DLC | 소재별 추천 코팅 | 제품 추천]
👤 사용자: 4G mill 은 중경도 가공에 특화된 브랜드로 알고있었는데..
🤖 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
[Reference: YG-1 내부 DB]
  [선택지: 절삭조건 알려줘 | 추천 코팅은? | 주의사항 더 알려줘 | 제품 추천]
👤 사용자: 근데 왜 고경도강 가공용 엔드밀을 추천해달라고 했는데 4G mill을 추천해줘?
🤖 AI assistant: 좋은 질문이십니다! 혼란을 드려 죄송합니다.
**현재 상황 설명:**
- 사용자님께서 "고경도강 가공용 엔드밀""을 요청하셨는데</t>
  </si>
  <si>
    <t>🎯 의도: 고경도강용 추천이 왜 4G MILL인지, 코팅 정보 오류를 바로잡고 근거를 요구함
✅ 정답 행동: 고경도강 전용 추천이라면 4G MILL을 임의로 단정하지 말고, 실제 해당 소재/경도에 맞는 제품군으로 재검토해야 함. X-Coating의 적용 소재를 내부 DB/공식 카탈로그 기준으로 확인해 정확히 설명하고, 불확실하면 추정 답변을 정정·사과해야 함.
⚠️ 당시 문제: X-Coating을 고경도강 전용이라고 단정해 잘못 안내했고, 4G MILL의 적용 범위도 부정확하게 설명함
💬 코멘트 분석: X-Coating은 중경도용인데 고경도용으로 잘못 추천된 점을 정정 요구함</t>
  </si>
  <si>
    <t>[김도성] X-Coating은 중경도가공에 적합한 코팅이나, 고경도가공에 대해 추천되고 있고, X-Coating 이 고경도 가공에 적합한 coating으로 잘못된 정보를 답변하고 있음</t>
  </si>
  <si>
    <t>fb-1774226428729-0b81f703</t>
  </si>
  <si>
    <t>RLH-0005</t>
  </si>
  <si>
    <t>EDP No.로 V7 PLUS 문의했는데 오추천됨</t>
  </si>
  <si>
    <t>🧭 초기 조건: 문의 목적=신규 제품 추천 / 피삭재 (소재)=일반강 / 가공 형상=측면가공 / 공구 타입 / 현재 제품=gmf54060 / 공구 직경=6mm
🤖 AI assistant: 일반강 측면가공용 6mm 엔드밀이시군요. 현재 202개 제품이 매칭됩니다.
공구 끝 형상은 어떤 게 필요하세요? Square(정사각 날끝, 108개) 또는 Radius(R날, 94개) 중 선호하시는 게 있나요?
  [선택지: Square (108개) | Radius (94개) | 상관없음]
👤 사용자: Radius (94개)
🤖 AI assistant: 날 수 선호하시는 게 있나요? (2날/4날 등)
  [선택지: 2날 (83개) | 4날 (62개) | 상관없음 | ⟵ 이전 단계]
👤 사용자: 4날 (62개)
🤖 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
  [선택지: 대체 후보 9개 보기 | 절삭조건 알려줘 | 코팅 비교 | 다른 직경 검색 | 처음부터 다시]</t>
  </si>
  <si>
    <t>🎯 의도: V7 PLUS 기준 EDP No.를 넣어 정확한 제품 추천을 받으려 함
✅ 정답 행동: 사용자가 입력한 EDP No.를 우선 해석해 V7 PLUS 제품군으로 조회했어야 합니다. 이후 해당 제품군에 맞는 규격/대체품을 제시하고, 현재 추천이 왜 4G MILL로 벗어났는지 확인·수정했어야 합니다.
⚠️ 당시 문제: EDP No. 입력 의도를 반영하지 못해 V7 PLUS 대신 4G MILL만 추천함
💬 코멘트 분석: V7 PLUS 기준으로 EDP No.를 입력해도 제대로 인식되지 않고 다른 계열 제품만 추천되는 점이 문제임</t>
  </si>
  <si>
    <t>[한웅희] 처음 제품 추천 관련 선택 내용 중 공구 EDP No.를 직접 입력하여 문의 가능한데, EDP No.를 V7 PLUS 기준으로 입력하고 문의 했으나, 4G MILL 만 추천 받음.</t>
  </si>
  <si>
    <t>fb-1774240230518-cc1e775c</t>
  </si>
  <si>
    <t>RLH-0006</t>
  </si>
  <si>
    <t>티타늄 측면가공 제품 추천 요청, 브랜드/코팅 혼선 발생</t>
  </si>
  <si>
    <t>🧭 초기 조건: 문의 목적=신규 제품 추천 / 피삭재 (소재)=티타늄 / 가공 형상=측면가공 / 공구 타입 / 현재 제품=엔드밀 / 공구 직경=10mm
🤖 AI assistant: 조건에 맞는 제품을 찾지 못했습니다. 직경이나 소재 조건을 조정해보세요.
  [선택지: 절삭조건 알려줘 | 코팅 비교 | 다른 직경 검색 | 처음부터 다시]
👤 사용자: Titanox-power라는 티타늄 전용 브랜드가 있지 않나요?
🤖 AI assistant: 죄송하지만, 제가 현재 접근할 수 있는 YG-1의 제품 데이터베이스 내에서는 "Titanox-power""라는 브랜드명을 확인할 수 없습니다.</t>
  </si>
  <si>
    <t>🎯 의도: 티타늄 사이드커팅용 YG-1 공구 추천을 원함
✅ 정답 행동: 티타늄 측면가공에 적합한 엔드밀을 먼저 제안하고, 검색 결과가 없더라도 직경/코팅/시리즈 기준으로 대체 제품을 안내했어야 함. 브랜드명으로 오인하지 말고 “Titanox-power/Titanox”는 제품군·브랜드 여부를 정확히 확인해 설명해야 함.
⚠️ 당시 문제: 추천 불가로 종료했고, 사용자 문의를 브랜드명/코팅으로 잘못 해석해 잘못 답변함
💬 코멘트 분석: 티타늄 측면가공 제품을 찾았는데 없다고 하고, 브랜드·코팅을 잘못 인식한 점에 대한 불만임</t>
  </si>
  <si>
    <t>[한웅희]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</si>
  <si>
    <t>fb-1774240825548-5b9700e7</t>
  </si>
  <si>
    <t>RLH-0007</t>
  </si>
  <si>
    <t>가공피삭재 선택항목이 너무 제한적임</t>
  </si>
  <si>
    <t>(대화 없음)</t>
  </si>
  <si>
    <t>🎯 의도: 원하는 피삭재를 더 다양하게 선택할 수 있게 개선 요청
✅ 정답 행동: 가공피삭재 선택지를 N계열 포함 실제 문의 가능한 범위까지 확장해야 함을 안내하고, ALU 외 Graphite·CFRP 등 추가 옵션을 반영한 선택 UI/분류를 제안했어야 함.
⚠️ 당시 문제: 피삭재 선택 옵션이 너무 제한적이라 사용자가 원하는 항목을 고를 수 없음
💬 코멘트 분석: N계열에서 ALU뿐 아니라 Graphite, CFRP 등도 선택 가능해야 한다는 불만과 개선 요구</t>
  </si>
  <si>
    <t>[한웅희] 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</si>
  <si>
    <t>fb-1774241468059-4e9d14f1</t>
  </si>
  <si>
    <t>RLH-0008</t>
  </si>
  <si>
    <t>구리 6mm 엔드밀 추천 요청, Tap 혼입 문제</t>
  </si>
  <si>
    <t>🧭 초기 조건: 문의 목적=신규 제품 추천 / 피삭재 (소재)=구리 / 가공 형상=프로파일 / 공구 타입 / 현재 제품=엔드밀 / 공구 직경=6mm
🤖 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
  [선택지: Ball (74개) | Gun Point (35개) | Spiral Flute (34개) | Square (22개) | 상관없음]</t>
  </si>
  <si>
    <t>🎯 의도: 구리 소재 프로파일 가공용 6mm 엔드밀 추천
✅ 정답 행동: 엔드밀로 제품군을 엄격히 필터링해 구리/프로파일/6mm 조건에 맞는 후보만 제시해야 함. Tap 등 비엔드밀 품목은 제외하고, 필요 시 끝형상/코팅/날수 기준으로 다시 좁혀 추천해야 함.
⚠️ 당시 문제: 추천 후보에 Tap이 섞여 정확한 제품군 필터링이 부족함
💬 코멘트 분석: 엔드밀 추천을 요청했는데 Tap이 포함돼 제품군 필터링이 필요하다는 불만/개선 요구임</t>
  </si>
  <si>
    <t>[한웅희] 구리 가공용 엔드밀 추천을 요청했는데, 추천 제품중 상당수가 Tap으로 답변 받았습니다. -&gt; 정확한 제품군 필터링이 필요해 보입니다.</t>
  </si>
  <si>
    <t>fb-1774241708684-d5ce27a8</t>
  </si>
  <si>
    <t>RLH-0009</t>
  </si>
  <si>
    <t>엔드밀 문의인데 Tap·형상정보를 잘못 안내함</t>
  </si>
  <si>
    <t>🧭 초기 조건: 문의 목적=신규 제품 추천 / 피삭재 (소재)=구리 / 가공 형상=프로파일 / 공구 타입 / 현재 제품=엔드밀 / 공구 직경=6mm
🤖 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
  [선택지: Ball (74개) | Gun Point (35개) | Spiral Flute (34개) | Square (22개) | 상관없음]
👤 사용자: Tap을 잔뜩 추천해줬는데 나는 엔드밀을 문의 한거에요
🤖 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
  [선택지: 후보 제품 보기 | 절삭조건 문의 | 코팅 비교 | 처음부터 다시]</t>
  </si>
  <si>
    <t>🎯 의도: 구리 프로파일 가공용 6mm 엔드밀 추천
✅ 정답 행동: Tap이 아니라 엔드밀 기준으로만 응답하고, 구리/프로파일/직경 6mm 조건에 맞는 후보를 바로 제시해야 함. 형상 타입 설명 시에도 실제 엔드밀 분류와 DB 기준을 정확히 안내해야 함.
⚠️ 당시 문제: Tap을 추천한 오인과, Gun Point를 엔드밀 주요 형상으로 잘못 설명함
💬 코멘트 분석: 엔드밀 문의인데 Tap·형상 설명이 잘못됐다는 점을 지적하며 정확한 정보 제공을 요구함</t>
  </si>
  <si>
    <t>[한웅희] Tap을 추천해줘서 엔드밀을 문의 한거라고 하였더니, 건포인트는 엔드밀의 주요형상 타입이라고 잘못된정보를 답변합니다.</t>
  </si>
  <si>
    <t>fb-1774241894607-58d56e87</t>
  </si>
  <si>
    <t>RLH-0010</t>
  </si>
  <si>
    <t>엔드밀 추천 문의에 탭 추천 오류를 지적함</t>
  </si>
  <si>
    <t>🧭 초기 조건: 문의 목적=신규 제품 추천 / 피삭재 (소재)=스테인리스 / 가공 형상=포켓 / 공구 타입 / 현재 제품=엔드밀 / 공구 직경=12mm
🤖 AI assistant: 스테인리스 포켓 가공용 12mm 엔드밀이시군요. 현재 410개 후보가 있습니다.
날 형상이 중요하신가요? Spiral Flute는 칩 배출이 좋고, Gun Point는 센터 드릴 없이 바로 가공 가능하며, Square는 범용성이 좋습니다.
  [선택지: Spiral Flute (141개) | Gun Point (140개) | Square (87개) | Radius (26개) | 상관없음]
👤 사용자: 왜 갑자기 엔드밀을 추천해달라는데 자꾸 tap을 추천해줘요?
🤖 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t>
  </si>
  <si>
    <t>🎯 의도: 엔드밀 추천 중 탭이 뜨는 문제를 바로잡고 정확한 안내를 원함
✅ 정답 행동: 탭이 추천된 사실을 인정하고, 현재 추천 결과가 엔드밀인지 실제 상품군을 다시 확인해야 함. 엔드밀 기준으로 재필터링 후 후보/추천을 다시 제시하고, 혼선 원인을 설명해야 함.
⚠️ 당시 문제: 탭 추천 오류를 부정하고 엔드밀로 정상 필터링됐다고 잘못 답함
💬 코멘트 분석: 탭제품이 추천된 것이 문제였고, 이를 엔드밀 정상필터링으로 오답 처리한 점이 핵심 불만임</t>
  </si>
  <si>
    <t>[한웅희] 탭제품을 추천하여, 왜 탭을 추천해주냐고 문의하니 엔드밀로 정상 필터링 되어 있다고 잘못된 정보 답변하였음.</t>
  </si>
  <si>
    <t>fb-1774242505710-585b558a</t>
  </si>
  <si>
    <t>RLH-0011</t>
  </si>
  <si>
    <t>SG8A46·SG8A60 형상차 문의, 오답 안내</t>
  </si>
  <si>
    <t>🧭 초기 조건: 문의 목적=신규 제품 추천 / 피삭재 (소재)=고경도강 / 가공 형상=프로파일 / 공구 타입 / 현재 제품=엔드밀 / 공구 직경=6mm
🤖 AI assistant: 고경도강 프로파일 가공용 6mm 엔드밀이시군요. 현재 134개 제품이 매칭됩니다. 날 수 선호가 있으신가요? (4날/2날/3날/6날)
  [선택지: 4날 (60개) | 2날 (48개) | 6날 (18개) | 3날 (8개) | 상관없음]
👤 사용자: 2날 (48개)
🤖 AI assistant: 고경도강 프로파일 가공이시면 Blue-Coating(내마모성 우수)과 Y-Coating(범용성 좋음) 중 어떤 쪽 선호하세요?
  [선택지: T-Coating (159개) | Blue-Coating (128개) | Y-Coating (119개) | X-Coating (1개) | 상관없음]
👤 사용자: Blue-Coating (128개)
🤖 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
  [선택지: 대체 후보 9개 보기 | 절삭조건 알려줘 | 코팅 비교 | 다른 직경 검색 | 처음부터 다시]
👤 사용자: 추천해준 SG8A46 시리즈와 SG8A60 시리즈의 차이점에 대해서 알려주세요
🤖 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
  [선택지: 대체 후보 9개 보기 | 절삭조건 알려줘 | 코팅 비교 | 다른 직경 검색 | 처음부터 다시]
👤 사용자: 두 시리즈간의 형상적인 차이는 없나요?
🤖 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 있습니다</t>
  </si>
  <si>
    <t>🎯 의도: 두 시리즈의 형상(END TEETH) 차이를 정확히 알고 싶음
✅ 정답 행동: 두 시리즈의 상세 형상을 제품 도면/카탈로그 기준으로 확인해 비교해야 한다. 확인 전에는 Ball, corner radius, square 등으로 단정하지 말고 “형상 정보 확인 필요”라고 안내했어야 한다.
⚠️ 당시 문제: 형상 차이를 추정으로 답해 SG8A46/SG8A60 형상을 잘못 안내함
💬 코멘트 분석: 형상(END TEETH) 차이를 물었는데 불명확한 추정 대신 정확한 스펙 확인을 원함</t>
  </si>
  <si>
    <t>[한웅희]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</si>
  <si>
    <t>fb-1774243283585-2372531a</t>
  </si>
  <si>
    <t>RLH-0012</t>
  </si>
  <si>
    <t>알루컷과 알루컷 HPC 차이 비교를 원했으나 날수 설명만 받음</t>
  </si>
  <si>
    <t>🧭 초기 조건: 문의 목적=신규 제품 추천 / 피삭재 (소재)=알루미늄 / 가공 형상=측면가공 / 공구 타입 / 현재 제품=엔드밀 / 공구 직경=10mm
🤖 AI assistant: 알루미늄 측면가공용 φ10mm 엔드밀이시군요. 현재 378개 제품이 있는데, 날 수 선호가 있으신가요? (3날/4날/2날 또는 상관없음)
  [선택지: 3날 (126개) | 4날 (124개) | 2날 (118개) | 6날 (6개) | 상관없음]
👤 사용자: 알루컷과 알루컷 HPC 의 차이점이 뭔가요?
🤖 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
  [선택지: 3날 (126개) | 4날 (124개) | 2날 (118개) | 6날 (6개) | 상관없음"]</t>
  </si>
  <si>
    <t>🎯 의도: 알루컷 vs 알루컷 HPC의 브랜드/제품 차이 확인
✅ 정답 행동: 두 제품의 설계 목적, 코팅/형상/칩배출/절삭성 차이를 비교 설명해야 했다. 관련 정보가 부족하면 제품명 기준으로 정확한 스펙 확인이 필요하다고 안내하고 다음 질문으로 이어가야 했다.
⚠️ 당시 문제: 브랜드 차이 질문에 날수 일반론으로 응답해 의도 미매칭
💬 코멘트 분석: 브랜드별 차이를 물었는데 엔드밀 날수 답변을 받아 맞지 않음</t>
  </si>
  <si>
    <t>[한지희] 브랜드별 차이점을 물어봤고, 엔드밀 날수에 대한 답변을 받았습니다. (맞지않는 답변) 
질문 :알루컷과 알루컷 HPC의 차이점은?</t>
  </si>
  <si>
    <t>fb-1774244095746-b99ba043</t>
  </si>
  <si>
    <t>RLH-0013</t>
  </si>
  <si>
    <t>일반강 슬롯용 4날 추천과 Y-Coating 문의</t>
  </si>
  <si>
    <t>🧭 초기 조건: 문의 목적=신규 제품 추천 / 피삭재 (소재)=일반강 / 가공 형상=슬롯 / 공구 타입 / 현재 제품=엔드밀 / 공구 직경=10mm
🤖 AI assistant: 일반강 슬롯 가공용 φ10mm 엔드밀이시군요. 현재 153개 후보가 있습니다.
날 수 선호가 있으신가요? (4날/6날/상관없음)
  [선택지: 4날 (75개) | 6날 (44개) | 5날 (23개) | 2날 (8개) | 상관없음]
👤 사용자: 슬롯가공용으로는 4날이 좋아요 6날이 좋아요?
🤖 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
  [선택지: 절삭조건 알려줘 | 추천 코팅은? | 주의사항 더 알려줘 | 제품 추천]
👤 사용자: 그럼 네날로 추천해줘요
🤖 AI assistant: 일반강 슬롯 가공이면 Y-Coating이 범용성 좋아서 추천합니다. 특별히 선호하는 코팅 있으세요?
  [선택지: Y-Coating (102개) | TiAlN (48개) | X-Coating (39개) | Blue-Coating (23개) | 상관없음]
👤 사용자: Y-Coating은 어떤 코팅인지 설명해 주세요
🤖 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[선택지: Y-Coating (102개) | TiAlN (48개) | X-Coating (39개) | Blue-Coating (23개) | 상관없음]</t>
  </si>
  <si>
    <t>🎯 의도: 일반강 슬롯가공에 맞는 4날 엔드밀과 코팅 정보를 확인하려는 것
✅ 정답 행동: 4날이 슬롯 가공에 더 적합하다는 점을 유지하되, Y-Coating의 성격을 정확히 설명하고 후보 제품 추천으로 이어가야 함. 사용자 코멘트처럼 소재 정보는 추측하지 말고 미확인 시 “확인 필요”로 답해야 함.
⚠️ 당시 문제: Y-Coating 설명이 실제와 다르게 일반 코팅 설명으로 혼재됨
💬 코멘트 분석: 제품 소재를 오답으로 단정하지 말고, 확인 가능한 정보만 안내해 달라는 요구임</t>
  </si>
  <si>
    <t>[한웅희] Only-One GYG02100 제품의 소재에 대해서 문의 하였더니 소재 정보가 없다고 답변 받음, -&gt; HSS PM60이 아니냐고 물어봤더니 HSS PM60이 아니고 Carbide 라고 잘못된 정보 답변함.</t>
  </si>
  <si>
    <t>fb-1774244168552-484847bd</t>
  </si>
  <si>
    <t>RLH-0014</t>
  </si>
  <si>
    <t>일반강 슬롯가공용 4날·Y코팅 문의 및 설명</t>
  </si>
  <si>
    <t>🎯 의도: 일반강 슬롯 가공에 적합한 4날 공구와 코팅을 추천받고 싶었음
✅ 정답 행동: 4날이 슬롯가공에 유리한 이유를 설명한 뒤, 일반강·슬롯·φ10mm 조건에 맞는 4날 엔드밀 후보를 바로 추천하거나 코팅까지 연결해 안내했어야 함
⚠️ 당시 문제: 코팅 설명에서 Y-Coating 정체를 정확히 설명하지 못하고 범용/재질별 코팅 설명이 다소 혼재됨
💬 코멘트 분석: 소재·코팅의 대외비 관련 문의에 대해 답변이 무난했다고 평가함</t>
  </si>
  <si>
    <t>[한웅희] 소재와 코팅의 대외비 사항에 대해서 문의 하였는데, 괜찮은 답변이 나온 것으로 보입니다.</t>
  </si>
  <si>
    <t>fb-1774244593825-c98c41da</t>
  </si>
  <si>
    <t>RLH-0015</t>
  </si>
  <si>
    <t>티타늄 헬리컬 가공용 날수·코팅 문의</t>
  </si>
  <si>
    <t>🧭 초기 조건: 문의 목적=신규 제품 추천 / 피삭재 (소재)=티타늄 / 가공 형상=헬리컬 / 공구 타입 / 현재 제품=엔드밀 / 공구 직경=10mm
🤖 AI assistant: 티타늄 소재를 10mm 엔드밀로 헬리컬 가공하시는군요. 현재 127개 제품이 매칭됩니다. 날 수 선호가 있으신가요? (6날/5날/4날/상관없음)
  [선택지: 6날 (49개) | 5날 (46개) | 4날 (32개) | 상관없음]
👤 사용자: 날수를 추천해주세요
🤖 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
  [선택지: 후보 제품 보기 | 절삭조건 문의 | 코팅 비교 | 처음부터 다시]
👤 사용자: Y-Coating은 어떤피삭재를 가공할때 좋나요?
🤖 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
  [선택지: 6날 (49개) | 5날 (46개) | 4날 (32개) | 상관없음]</t>
  </si>
  <si>
    <t>🎯 의도: 티타늄 10mm 엔드밀의 적절한 날수와 Y-Coating 용도를 알고 싶음
✅ 정답 행동: 날수 설명이 아니라 사용자가 묻는 **Y-Coating 적용 피삭재/용도**를 먼저 정확히 답해야 함. 티타늄, 스테인리스, 내열합금 등 적용 가능 재질을 제품 DB 기준으로 안내하고, 불확실하면 확인 후 답변한다고 해야 함.
⚠️ 당시 문제: 사용자 질문과 무관하게 날수 설명으로 벗어나 답변함
💬 코멘트 분석: Y-Coating의 적용 피삭재를 정확히 알고 싶다는 요구이며, 근거 없는 설명은 원치 않음</t>
  </si>
  <si>
    <t>[한웅희]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</si>
  <si>
    <t>fb-1774245419116-0bc87035</t>
  </si>
  <si>
    <t>RLH-0016</t>
  </si>
  <si>
    <t>알루미늄 6mm 엔드밀을 시리즈→EDP로 보길 원함</t>
  </si>
  <si>
    <t>🧭 초기 조건: 문의 목적=신규 제품 추천 / 피삭재 (소재)=알루미늄 / 가공 형상=측면가공 / 공구 타입 / 현재 제품=엔드밀 / 공구 직경=6mm
🤖 AI assistant: 알루미늄 측면가공용 6mm 엔드밀이시군요. 현재 363개 후보가 있습니다.
코팅 종류 선호가 있으신가요? Bright Finish(무코팅), Diamond, DLC, X-Coating 등 옵션이 있습니다.
  [선택지: Bright Finish (158개) | Diamond (88개) | DLC (37개) | X-Coating (26개) | 상관없음]
👤 사용자: 시리즈 단위로 보여줘
🤖 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t>
  </si>
  <si>
    <t>🎯 의도: 제품명→시리즈→EDP 순으로 단계적 검색/표시
✅ 정답 행동: 시리즈 단위 결과를 먼저 보여주고, 선택한 시리즈 아래에 EDP와 세부 정보를 펼치는 구조로 안내했어야 함. 알루미늄/스틸처럼 후보가 많은 경우는 EDP 전량 나열 대신 계층형 출력으로 스크롤 부담을 줄여야 함.
⚠️ 당시 문제: EDP를 너무 낮은 단계로 바로 많이 노출해 탐색성이 떨어짐
💬 코멘트 분석: 제품명→시리즈→EDP로 출력 뎁스를 늘려 시리즈 중심 탐색이 더 쉽다는 요구임</t>
  </si>
  <si>
    <t>[최호영]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</si>
  <si>
    <t>fb-1774307969250-c45f752f</t>
  </si>
  <si>
    <t>RLH-0017</t>
  </si>
  <si>
    <t>3날 φ6 황삭 엔드밀 추천, 소재 선택 보완 요청</t>
  </si>
  <si>
    <t>🧭 초기 조건: 문의 목적=신규 제품 추천 / 피삭재 (소재)=일반강 / 가공 형상=측면가공 / 공구 타입 / 현재 제품=엔드밀 / 공구 직경=6mm
🤖 AI assistant: 일반강 측면가공용 φ6mm 엔드밀이시네요. 현재 190개 제품이 매칭됩니다.
날수(Flute) 선호가 있으신가요? 2날은 칩 배출이 좋고, 4날은 면조도가 우수하며, 6날은 고능률 가공에 적합합니다.
  [선택지: SEME73 — 4G MILL 4 Flute&lt;br/&gt;30°Helix Rib End mill (61개) | SEME71 — 4G MILL 4 Flute&lt;br/&gt;Multiple Helix End mill (40개) | SEME67 — 4G MILL 4 Flute&lt;br/&gt;38°Helix Long Neck&lt;br/&gt;Corner Radius End mill (24개) | SEME69 — 4G MILL 2 Flute&lt;br/&gt;30°Helix End mill (20개) | 상관없음]
👤 사용자: 난 3날 엔드밀을 찾는데?
🤖 AI assistant: 측면가공이면 보통 Roughing(황삭용)이나 Radius(모서리 라운드형)가 잘 맞는데, 어떤 용도로 쓰실 건가요? 황삭/정삭/마무리 중에요.
  [선택지: Roughing (10개) | Radius (6개) | Ball (4개) | Square (3개) | 상관없음]
👤 사용자: 황삭에 사용할꺼야
🤖 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
  [선택지: 대체 후보 9개 보기 | 절삭조건 알려줘 | 코팅 비교 | 다른 직경 검색 | 처음부터 다시]</t>
  </si>
  <si>
    <t>🎯 의도: 일반강 측면 황삭용 3날 φ6 엔드밀 추천 받기
✅ 정답 행동: 3날 황삭용 제품을 우선 추천하되, Carbide를 먼저/HSS를 후순위로 보여야 함. 추가로 공구 소재를 묻는 질문을 넣어 사용자가 Carbide/HSS 중 선택할 수 있게 했어야 함.
⚠️ 당시 문제: 날수 선호를 잘못 좁혀 사용자가 3날을 찾는다는 핵심을 바로 반영하지 못함
💬 코멘트 분석: Carbide 우선, HSS 후순위 및 공구 소재 선택 항목 추가 요구</t>
  </si>
  <si>
    <t>[김도성] 추천 제품은 Carbide 제품이 우선 추천되고 HSS 제품이 후순위로 가야하며 질문 중 어떤 소재의 공구를 찾는지 선택하는 항목이 추가되면 좋을 것 같습니다.</t>
  </si>
  <si>
    <t>fb-1774309889960-058e1f6b</t>
  </si>
  <si>
    <t>RLH-0018</t>
  </si>
  <si>
    <t>추천 제품의 간단 설명을 원함, 마케팅 목적 반영</t>
  </si>
  <si>
    <t>1:GAA35060(86) | 2:GAA33060(86) | 3:SG9E7606020(76) | 4:SG9E76060(76) | 5:GAA35070(58)</t>
  </si>
  <si>
    <t>🎯 의도: AI 카탈로그 추천 제품에 짧은 설명을 붙이길 원함
✅ 정답 행동: 각 추천 품목(GAA35060, GAA33060, SG9E7606020 등)에 대해 “YG-1 베스트셀러”, “주요 용도”, “특징”처럼 1줄짜리 간단한 마케팅 설명을 함께 제공해야 함. 사용자가 비교 기준을 언급했으므로, 단순 나열보다 제품별 장점이 드러나게 응답했어야 함.
⚠️ 당시 문제: 추천 목록만 제시하고 제품 설명이 없어 마케팅 목적을 반영하지 못함
💬 코멘트 분석: 베스트셀러 등 추천 제품에 대한 간단한 설명을 원한다는 요구임</t>
  </si>
  <si>
    <t>[김도성] 동일한 질문을 Gemini에게 물어봤을때의 답변과 비교입니다.
AI 카탈로그의 주목적은 마케팅이기 때문에 "YG-1의 베스트 셀러"" 등 추천해주는 제품에 대한 간단한 설명</t>
  </si>
  <si>
    <t>fb-1774310912957-562de60e</t>
  </si>
  <si>
    <t>RLH-0019</t>
  </si>
  <si>
    <t>알루미늄 측면가공용 3날 Radius 공구 추천 요청, 인치 환산 오류 지적</t>
  </si>
  <si>
    <t>🧭 초기 조건: 문의 목적=신규 제품 추천 / 피삭재 (소재)=알루미늄 / 가공 형상=측면가공 / 공구 타입 / 현재 제품=E5G97032
🤖 AI assistant: 알루미늄 측면가공용 엔드밀 찾으시는군요. 현재 251개 후보가 있는데, 날 수 선호가 있으신가요? (3날 156개 / 2날 95개)
  [선택지: 3날 (156개) | 2날 (95개) | 상관없음]
👤 사용자: 3날 (156개)
🤖 AI assistant: 날 끝 형상은 어떤 게 필요하세요? Radius형(188개), Roughing형(50개), Square형(40개) 중에서요.
  [선택지: Radius (188개) | Roughing (50개) | Square (40개) | 상관없음 | ⟵ 이전 단계]
👤 사용자: Radius (188개)
🤖 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
  [선택지: 대체 후보 9개 보기 | 절삭조건 알려줘 | 코팅 비교 | 다른 직경 검색 | 처음부터 다시]</t>
  </si>
  <si>
    <t>🎯 의도: 알루미늄 측면가공에 맞는 신규 엔드밀을 정확한 규격으로 추천받고 싶음
✅ 정답 행동: 3날 Radius 조건에 맞는 후보를 제시하되, 인치 규격은 mm 환산을 정확히 적용해 표기해야 함. 특히 직경/치수를 재검증하고, 잘못 환산된 제품은 제외하거나 정정 안내해야 함.
⚠️ 당시 문제: Inch 제품의 metric 환산이 잘못되어 직경 표기가 실제와 불일치함
💬 코멘트 분석: 인치 제품의 mm 환산 표기가 틀려 정확한 치수 표기를 요구함</t>
  </si>
  <si>
    <t>[한웅희] Inch Size 제품들의 정보 가 Metric 단위로 환산 되어 표현하는데 전혀 치수가 맞지 않음. 
예를 들어 직경이 3/4(19.05mm)인데 76.2mm로 표기됨</t>
  </si>
  <si>
    <t>fb-1774311073396-aa60d6e1</t>
  </si>
  <si>
    <t>RLH-0020</t>
  </si>
  <si>
    <t>4날 선택 후 소재 질문과 코팅 선택창 불일치</t>
  </si>
  <si>
    <t>🧭 초기 조건: 문의 목적=신규 제품 추천 / 피삭재 (소재)=주철,일반강,스테인리스,티타늄 / 가공 형상=슬롯 / 공구 타입 / 현재 제품=엔드밀 / 공구 직경=10mm
🤖 AI assistant: 10mm 엔드밀로 주철/일반강/스테인리스/티타늄 슬롯 가공이시군요. 현재 153개 제품이 매칭됩니다. 날 수 선호가 있으신가요? (4날, 6날이 가장 많습니다)
  [선택지: 4날 (75개) | 6날 (44개) | 5날 (23개) | 2날 (8개) | 상관없음]
👤 사용자: 4날 (75개)
🤖 AI assistant: 소재가 다양하네요. 주로 가공하시는 소재가 뭔가요? (주철/일반강/스테인리스/티타늄 중)
  [선택지: Y-Coating (114개) | TiAlN (47개) | X-Coating (39개) | Blue-Coating (23개) | 상관없음]</t>
  </si>
  <si>
    <t>🎯 의도: 10mm 엔드밀 슬롯용 제품을 소재/날수에 맞게 추천받기
✅ 정답 행동: 사용자가 4날을 선택했으면 다음 단계는 실제 주 가공소재를 묻거나, 다소매칭 조건이면 소재별로 정리해 안내해야 함. 코팅 선택지는 소재 질문과 충돌하므로 보류하고, 먼저 소재 선택 후 그에 맞는 코팅/제품을 이어서 추천해야 함.
⚠️ 당시 문제: 소재 질문 직후 코팅 선택창이 떠서 흐름이 부정확함
💬 코멘트 분석: 사용자는 소재 질문 뒤 곧바로 코팅 선택창이 활성화된 점이 잘못됐다고 지적함</t>
  </si>
  <si>
    <t>[한웅희] 가공소재를 다양하게 선택했더니 소재가 다양하다면서 주로 가공하는 소재가 뭐냐고 문의 받음. 그러나 아래에 선택창에 Y-Coating TiAlN 등 코팅을 선택하는 창이 활성화됨.</t>
  </si>
  <si>
    <t>fb-1774311416298-3f462feb</t>
  </si>
  <si>
    <t>RLH-0021</t>
  </si>
  <si>
    <t>소재 질문에 코팅 선택지가 나와 혼란을 지적</t>
  </si>
  <si>
    <t>🧭 초기 조건: 문의 목적=신규 제품 추천 / 피삭재 (소재)=주철,일반강,스테인리스,티타늄 / 가공 형상=슬롯 / 공구 타입 / 현재 제품=엔드밀 / 공구 직경=10mm
🤖 AI assistant: 10mm 엔드밀로 주철/일반강/스테인리스/티타늄 슬롯 가공이시군요. 현재 153개 제품이 매칭됩니다. 날 수 선호가 있으신가요? (4날, 6날이 가장 많습니다)
  [선택지: 4날 (75개) | 6날 (44개) | 5날 (23개) | 2날 (8개) | 상관없음]
👤 사용자: 4날 (75개)
🤖 AI assistant: 소재가 다양하네요. 주로 가공하시는 소재가 뭔가요? (주철/일반강/스테인리스/티타늄 중)
  [선택지: Y-Coating (114개) | TiAlN (47개) | X-Coating (39개) | Blue-Coating (23개) | 상관없음]
👤 사용자: 왜 주로 가공하는 소재를 물어보면서 아래 선택지는 코팅에 대한 선택지를 주는거야?
🤖 AI assistant: 좋은 질문입니다! 혼란을 드려 죄송합니다.
현재 시스템의 흐름을 설명드리면:
**현재 상황:**
- 4날 엔드밀로 필터링된 상태 (236개 제품)
- 시스템이 "주로 가공하는 소재""를 물어봤지만</t>
  </si>
  <si>
    <t>🎯 의도: 브이세븐과 서스컷의 차이 비교를 원했음
✅ 정답 행동: 질문 의도를 정확히 파악해 브이세븐 vs 서스컷의 차이점을 설명해야 했다. 코팅 선택지처럼 무관한 필터를 제시하지 말고, 두 제품의 용도/특징/추천 조건을 비교해 답변했어야 함.
⚠️ 당시 문제: 사용자 의도와 다른 코팅 질문으로 잘못 응답함
💬 코멘트 분석: 브이세븐과 서스컷 차이를 물었는데 코팅 종류를 답해 불만이 있었음</t>
  </si>
  <si>
    <t>[한웅희] 브이세븐과 서스컷의 차이점에 대해서 문의 했는데 코팅 종류에 대해서 답변함.</t>
  </si>
  <si>
    <t>fb-1774311798174-7f3512dd</t>
  </si>
  <si>
    <t>RLH-0022</t>
  </si>
  <si>
    <t>티타늄 슬롯가공 엔드밀 추천 중, 코팅 설명만 받고 필터링 오류 지적</t>
  </si>
  <si>
    <t>🧭 초기 조건: 문의 목적=신규 제품 추천 / 피삭재 (소재)=티타늄 / 가공 형상=슬롯 / 공구 타입 / 현재 제품=엔드밀 / 공구 직경=10mm
🤖 AI assistant: 티타늄 소재에 10mm 엔드밀로 슬롯 가공이시군요. 현재 153개 후보가 있습니다. 날 수 선호가 있으신가요? (4날/6날 등)
  [선택지: 4날 (77개) | 6날 (44개) | 5날 (23개) | 3날 (6개) | 상관없음]
👤 사용자: 4날 (77개)
🤖 AI assistant: 티타늄 가공에는 Y-Coating이 가장 적합합니다. 현재 상위 10개 제품 모두 Y-Coating이에요. 그대로 진행할까요, 아니면 다른 코팅도 비교해보시겠어요?
  [선택지: Y-Coating (71개) | TiAlN (57개) | AlTiN (33개) | T-Coating (31개) | 상관없음]
👤 사용자: Y-Coating으로 추천해 주세요 그런데 T-Coating은 뭔가요?
🤖 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[선택지: Y-Coating (71개) | TiAlN (57개) | AlTiN (33개) | T-Coating (31개) | 상관없음]</t>
  </si>
  <si>
    <t>🎯 의도: 티타늄 슬롯가공용 10mm 엔드밀을 Y-Coating 기준으로 추천받고 코팅도 이해하고 싶었음
✅ 정답 행동: 사용자가 선택한 조건(슬롯, 엔드밀, 10mm, 4날, Y-Coating)을 기준으로 후보를 정확히 필터링해 제품을 추천했어야 합니다. T-Coating 질문에는 코팅 특징과 티타늄 적합성 여부를 간단히 설명하고, 바로 추천 결과로 이어갔어야 합니다.
⚠️ 당시 문제: 코팅 설명만 하고 실제 제품 추천을 진행하지 않았고, 필터링이 조건에 맞게 작동하지 않는 문제 가능성이 있습니다.
💬 코멘트 분석: 처음 입력한 가공형상/공구형상 필터가 제대로 적용되지 않아 Ball 제품이 1순위로 나온 점이 핵심 불만입니다.</t>
  </si>
  <si>
    <t>[한웅희]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</si>
  <si>
    <t>fb-1774313388044-5b543671</t>
  </si>
  <si>
    <t>RLH-0023</t>
  </si>
  <si>
    <t>티타늄 슬롯 10mm 엔드밀, Y-Coating과 T-Coating 문의</t>
  </si>
  <si>
    <t>🎯 의도: 티타늄 슬롯 가공용 10mm 4날 엔드밀을 Y-Coating 기준으로 추천받고, T-Coating 의미를 알고 싶음
✅ 정답 행동: Y-Coating 조건을 유지한 채 후보를 제시하고, T-Coating의 정의/특징을 정확히 설명했어야 함. 또한 코너레디우스 여부 등 제품 형상 정보는 추정하지 말고, DB 기준으로 확인 불가하면 불확실하다고 안내해야 함.
⚠️ 당시 문제: 코팅 설명이 선택된 Y-Coating과 무관한 일반 코팅 설명으로 혼재됐고, 제품 형상 추정에서 오답 안내 가능성이 있었음
💬 코멘트 분석: 코너레디우스 제품만 보고 싶었는데 후보 누락과 형상 오판이 발생한 점이 핵심 불만임</t>
  </si>
  <si>
    <t>[한웅희] 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</si>
  <si>
    <t>fb-1774313497343-d7a19da1</t>
  </si>
  <si>
    <t>RLH-0024</t>
  </si>
  <si>
    <t>탭 대신 알루미늄 정면가공용 엔드밀 재추천 요청</t>
  </si>
  <si>
    <t>🧭 초기 조건: 문의 목적=신규 제품 추천 / 피삭재 (소재)=알루미늄 / 가공 형상=정면가공 / 공구 타입 / 현재 제품=엔드밀 / 공구 직경=6mm
🤖 AI assistant: 알루미늄 정면가공용 φ6mm 엔드밀이시군요. 현재 398개 후보가 있습니다.
코팅 종류 선호가 있으신가요? DLC, TiCN, TiAlN 등이 있는데, 없으시면 '상관없음'이라고 해주세요.
  [선택지: TiN Coating (170개) | Bright Finish (77개) | X-Coating (52개) | Steam Homo (19개) | 상관없음]
👤 사용자: Bright Finish (77개)
🤖 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
  [선택지: Spiral Flute (171개) | Gun Point (146개) | Straight Flute (11개) | 상관없음 | ⟵ 이전 단계]
👤 사용자: TAP 말고 END MILL을 추천해줘봐
🤖 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t>
  </si>
  <si>
    <t>🎯 의도: TAP이 아닌 알루미늄 정면가공용 END MILL 추천
✅ 정답 행동: 엔드밀 카테고리 필터가 먼저 제대로 적용되도록 안내하고, 알루미늄 정면가공에 맞는 φ6mm Bright Finish 엔드밀 후보를 다시 검색해 추천해야 한다. 탭이 아닌 엔드밀만 대상으로 실제 존재하는 제품으로 제시해야 한다.
⚠️ 당시 문제: 탭 제품을 엔드밀로 잘못 응답했고, 존재하지 않는 제품을 추천한 점
💬 코멘트 분석: 엔드밀 필터 미적용과 없는 제품 추천에 대한 불만, 정확한 E/M 추천 요구</t>
  </si>
  <si>
    <t>[한웅희] TAP 말고 E/M 추천 요청하니 엔드밀 필터가 제대로 적용되어 있지 않은 것 같다고 하며, ALU 정면가공에는 X:CODE 제품을 추천한다고 없는 제품을 추천함.</t>
  </si>
  <si>
    <t>fb-1774314041755-22d15d9d</t>
  </si>
  <si>
    <t>RLH-0025</t>
  </si>
  <si>
    <t>HRc61 고경도강에 X-POWER PRO 적합성 확인</t>
  </si>
  <si>
    <t>🧭 초기 조건: 문의 목적=신규 제품 추천 / 피삭재 (소재)=고경도강 / 가공 형상=포켓,측면가공,슬롯 / 공구 타입 / 현재 제품=엔드밀 / 공구 직경=2mm
🤖 AI assistant: 고경도강 2mm 엔드밀로 포켓/측면/슬롯 가공이시군요. 현재 274개 제품이 매칭됩니다.
공구 형상은 어떤 게 필요하세요? Square(평날), Ball(볼날), Radius(라운드날) 중에서요.
  [선택지: Square (163개) | Ball (69개) | Radius (42개) | 상관없음]
👤 사용자: Radius (42개)
🤖 AI assistant: 401개 후보가 있네요. 날 수는 2날인가요, 4날인가요?
  [선택지: 4날 (224개) | 2날 (177개) | 상관없음 | ⟵ 이전 단계]
👤 사용자: 상관없음
🤖 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
  [선택지: 대체 후보 9개 보기 | 절삭조건 알려줘 | 코팅 비교 | 다른 직경 검색 | 처음부터 다시]
👤 사용자: 내가 가공하는 피삭재 경도가 HRc61 입니다.  엄청 높아요 그런데 X-POWER PRO를 사용해도 괜찮나요?
🤖 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확인**
   - HRc 61 가공은 높은 절삭력 발생 → 기계 강성과 홀딩 시스템 중요
3. **공구 마모 모니터링**
   - 고경도 소재는 급격한 마모 유발 가능 → 정기적 공구 상태 확인
### 💡 **추가 제안**
현재 추천된 제품 중에서도 **코팅 종류**에 따라 경화강 가공 성능이 달라질 수 있습니다:
- **TiAlN 계열 코팅**: 고온 안정성 우수 (경화강 가공 선호)
- **Diamond 코팅**: 비철금속/탄소 복합재 특화
HRc 61 가공에는 **경화강 전용 시리즈(예: G8A36, GM839 등)**와 함께 **적절한 코팅 선택**이 중요합니다.
---
**궁금하신 점:**
1. 현재 추천된 5개 제품 중 특정 코팅 정보를 더 알고 싶으신가요?
2. 경화강 가공용 절삭조건을 안내해드릴까요?
[Reference: AI 지식 추론 + YG-1 제품 특성]
  [선택지: 절삭조건 알려줘 | 추천 코팅은? | 주의사항 더 알려줘 | 제품 추천]</t>
  </si>
  <si>
    <t>🎯 의도: HRc61 초고경도강에 X-POWER PRO 사용 가능 여부 확인
✅ 정답 행동: HRc61은 제품 DB 기준으로 실제 적합 범위를 확인해, X-POWER PRO의 적용 가능 여부를 보수적으로 안내했어야 함. 근거 없는 “HRc55~70 대응” 같은 스펙은 단정하지 말고, DB에 없으면 대체 가능한 경화강용 제품과 절삭조건 확인을 제안해야 함.
⚠️ 당시 문제: X-POWER PRO의 HRc 55~70 대응을 근거 없이 단정해 잘못 안내함
💬 코멘트 분석: 추천 1순위 제품의 사양을 임의로 과장해 잘못 답변한 점이 핵심 불만임</t>
  </si>
  <si>
    <t>[한웅희]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</si>
  <si>
    <t>fb-1774317676172-b0cd3268</t>
  </si>
  <si>
    <t>RLH-0026</t>
  </si>
  <si>
    <t>HRc61 고경도강용 적합 브랜드 검토 요청</t>
  </si>
  <si>
    <t>🧭 초기 조건: 문의 목적=신규 제품 추천 / 피삭재 (소재)=고경도강 / 가공 형상=포켓,측면가공,슬롯 / 공구 타입 / 현재 제품=엔드밀 / 공구 직경=2mm
🤖 AI assistant: 고경도강 2mm 엔드밀로 포켓/측면/슬롯 가공이시군요. 현재 274개 제품이 매칭됩니다.
공구 형상은 어떤 게 필요하세요? Square(평날), Ball(볼날), Radius(라운드날) 중에서요.
  [선택지: Square (163개) | Ball (69개) | Radius (42개) | 상관없음]
👤 사용자: Radius (42개)
🤖 AI assistant: 401개 후보가 있네요. 날 수는 2날인가요, 4날인가요?
  [선택지: 4날 (224개) | 2날 (177개) | 상관없음 | ⟵ 이전 단계]
👤 사용자: 상관없음
🤖 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
  [선택지: 대체 후보 9개 보기 | 절삭조건 알려줘 | 코팅 비교 | 다른 직경 검색 | 처음부터 다시]
👤 사용자: 내가 가공하는 피삭재 경도가 HRc61 입니다.  엄청 높아요 그런데 X-POWER PRO를 사용해도 괜찮나요?
🤖 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확인**
   - HRc 61 가공은 높은 절삭력 발생 → 기계 강성과 홀딩 시스템 중요
3. **공구 마모 모니터링**
   - 고경도 소재는 급격한 마모 유발 가능 → 정기적 공구 상태 확인
### 💡 **추가 제안**
현재 추천된 제품 중에서도 **코팅 종류**에 따라 경화강 가공 성능이 달라질 수 있습니다:
- **TiAlN 계열 코팅**: 고온 안정성 우수 (경화강 가공 선호)
- **Diamond 코팅**: 비철금속/탄소 복합재 특화
HRc 61 가공에는 **경화강 전용 시리즈(예: G8A36, GM839 등)**와 함께 **적절한 코팅 선택**이 중요합니다.
---
**궁금하신 점:**
1. 현재 추천된 5개 제품 중 특정 코팅 정보를 더 알고 싶으신가요?
2. 경화강 가공용 절삭조건을 안내해드릴까요?
[Reference: AI 지식 추론 + YG-1 제품 특성]
  [선택지: 절삭조건 알려줘 | 추천 코팅은? | 주의사항 더 알려줘 | 제품 추천]
👤 사용자: 고경도강을 가공하기에 더 적합한 브랜드는 X5070이나 X1-EH 또는 E-FORCE가 아닌가요?
🤖 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 HRC 55~70: X5070, X1-EH, E-FORCE 등 고경도강 전용 시리즈 권장
가공하실 소재의 경도를 알려주시면 더 정확한 추천이 가능합니다!
[Reference: YG-1 제품 카탈로그 지식]
  [선택지: 절삭조건 알려줘 | 추천 코팅은? | 주의사항 더 알려줘 | 제품 추천]</t>
  </si>
  <si>
    <t>🎯 의도: HRc61 가공에 더 적합한 브랜드가 맞는지 확인하려는 것
✅ 정답 행동: 사용자가 제시한 HRc61 조건을 기준으로, X5070/X1-EH/E-FORCE가 고경도강 전용군인지 비교해 설명하고 현재 추천 제품보다 우선 검토해야 한다고 안내했어야 함. 필요하면 경도 구간별로 어떤 시리즈가 더 적합한지 정리해 재추천해야 함.
⚠️ 당시 문제: 앞선 답변과 다른 제품군 적합성을 일관성 없이 설명함
💬 코멘트 분석: 이전 답변과 다른 내용을 이어서 말하지 말고, 대화 맥락과 기존 답변을 기억하며 일관되게 답변하길 요구함</t>
  </si>
  <si>
    <t>[한웅희] 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</si>
  <si>
    <t>fb-1774318469615-e8e582c7</t>
  </si>
  <si>
    <t>RLH-0027</t>
  </si>
  <si>
    <t>논코팅 기준인데 코팅/EDP를 혼동해 답변</t>
  </si>
  <si>
    <t>🧭 초기 조건: 문의 목적=신규 제품 추천 / 피삭재 (소재)=알루미늄 / 가공 형상=측면가공 / 공구 타입 / 현재 제품=엔드밀 / 공구 직경=10mm
🤖 AI assistant: 알루미늄 측면가공용 φ10mm 엔드밀이시군요. 현재 371개 제품이 매칭됩니다.
코팅 종류 선호가 있으신가요? Bright Finish(무코팅), Diamond, DLC, X-Coating 등이 있는데, 가공 조건에 따라 성능 차이가 큽니다.
  [선택지: Bright Finish (149개) | Diamond (67개) | DLC (42개) | X-Coating (25개) | 상관없음]
👤 사용자: Bright Finish (149개)
🤖 AI assistant: 10mm 엔드밀이 맞으시죠? 아니면 8mm, 8.5mm, 9mm, 9.5mm 중에 필요하신 직경이 있나요?
  [선택지: 8mm | 8.5mm | 9mm | 9.5mm | 10mm]
👤 사용자: 맞아요
🤖 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(카탈로그 스펙 + 절삭조건 데이터)
  [선택지: 대체 후보 9개 보기 | 절삭조건 알려줘 | 코팅 비교 | 다른 직경 검색 | 처음부터 다시]
👤 사용자: Bright 제품을 선택했는데 왜 DLC Coating 제품을 1순위로 추천해주시나요?
🤖 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t>
  </si>
  <si>
    <t>🎯 의도: Bright Finish 기준으로 정확한 제품 추천 확인
✅ 정답 행동: 사용자 선택한 Bright Finish를 기준으로 결과를 재검증하고, 코팅이 다른 제품을 1순위로 추천한 이유를 명확히 설명했어야 함. EDP/제품코드가 논코팅인지 코팅인지 구분해 정정하고, 동일 제품의 코팅/논코팅 버전이 섞여 보인 경우엔 필터 오류를 바로잡아야 함.
⚠️ 당시 문제: 논코팅 기준인데 코팅된 EDP와 논코팅 EDP를 모두 논코팅으로 잘못 답변함
💬 코멘트 분석: 동일 제품에서 코팅/논코팅 EDP 구분을 잘못해 답변한 점을 지적함</t>
  </si>
  <si>
    <t>[한웅희] 논코팅 기준 동일한 제품인데  Coating이 적용된 EDP와 논코팅 EDP를 모두 논코팅으로 답변함.</t>
  </si>
  <si>
    <t>fb-1774320167560-30c92f7e</t>
  </si>
  <si>
    <t>RLH-0028</t>
  </si>
  <si>
    <t>스테인리스 10mm 엔드밀 추천 후 본사 위치 오답 정정 요구</t>
  </si>
  <si>
    <t>🧭 초기 조건: 문의 목적=신규 제품 추천 / 피삭재 (소재)=스테인리스 / 가공 형상=측면가공 / 공구 타입 / 현재 제품=엔드밀 / 공구 직경=10mm
🤖 AI assistant: 스테인리스 측면가공용 10mm 엔드밀이시군요. 현재 330개 후보가 있습니다.
코팅 종류 선호가 있으신가요? X-Coating, TiAlN, Y-Coating 등 다양한 옵션이 있습니다.
  [선택지: Y-Coating (94개) | Bright Finish (75개) | AlTiN (53개) | X-Coating (47개) | 상관없음]
👤 사용자: X-Coating 제품으로 날장이 100이상으로 추천해줘
🤖 AI assistant: 가공 목적이 뭔가요? 황삭(거친 가공)인지, 정삭(마무리)인지, 아니면 드릴+밀링 겸용인지 알려주세요.
  [선택지: Roughing (24개) | Square (15개) | Drill Mill (8개) | 상관없음 | ⟵ 이전 단계]
👤 사용자: 정삭을 할거야
🤖 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
  [선택지: 대체 후보 9개 보기 | 절삭조건 알려줘 | 코팅 비교 | 다른 직경 검색 | 처음부터 다시]
👤 사용자: 날장이 100이상으로 추천해줘
🤖 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
  [선택지: 대체 후보 9개 보기 | 절삭조건 알려줘 | 코팅 비교 | 다른 직경 검색 | 처음부터 다시]
👤 사용자: 그럼 이 제품 구매하려면 어디로 연락해야 하나요?? 
사업장은 구미에 있습니다.
🤖 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 있을 것으로 예상됩니다. 본사에 연락하시면 가장 가까운 거래처를 안내받으실 수 있습니다!
[Reference: AI 지식 추론 + 일반적인 YG-1 구매 프로세스]
  [선택지: 후보 제품 보기 | 절삭조건 문의 | 코팅 비교 | 처음부터 다시]
👤 사용자: 와이지원 본사 전시장이 경기도 의정부시에 있나요?? 본사는 인천 송도 아닌가요?
🤖 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
  [선택지: 후보 제품 보기 | 절삭조건 문의 | 코팅 비교 | 처음부터 다시]
👤 사용자: 와이지원은 의정부에 관련시설을 두고있지 않습니다.
🤖 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
  [선택지: 후보 제품 보기 | 절삭조건 문의 | 코팅 비교 | 처음부터 다시]</t>
  </si>
  <si>
    <t>🎯 의도: 추천 공구 조건을 확인하고, 이후 회사 시설 위치정보 오류를 바로잡게 하려는 것
✅ 정답 행동: 사용자가 원하는 조건(X-Coating, 날장 100 이상, 정삭)에 맞는 제품만 제시하고, 회사/본사/전시장의 위치는 확인된 공식 정보로만 안내해야 함. 위치 정보가 불확실하면 추정하지 말고 “확인 필요”로 처리했어야 함.
⚠️ 당시 문제: 본사·전시장·사업장 위치를 추정/오답으로 안내함
💬 코멘트 분석: 회사의 운영시설 위치정보를 잘못 가져오므로 정확한 공식 정보만 쓰라는 불만</t>
  </si>
  <si>
    <t>[한지희] 회사의 운영시설에 대한 위치정보를 잘못 가져오고 있습니다.</t>
  </si>
  <si>
    <t>fb-1774332121763-d1daf73c</t>
  </si>
  <si>
    <t>RLH-0029</t>
  </si>
  <si>
    <t>익산공장 오정보 정정과 재확인 요청</t>
  </si>
  <si>
    <t>🧭 초기 조건: 문의 목적=신규 제품 추천 / 피삭재 (소재)=스테인리스 / 가공 형상=측면가공 / 공구 타입 / 현재 제품=엔드밀 / 공구 직경=10mm
🤖 AI assistant: 스테인리스 측면가공용 10mm 엔드밀이시군요. 현재 330개 후보가 있습니다.
코팅 종류 선호가 있으신가요? X-Coating, TiAlN, Y-Coating 등 다양한 옵션이 있습니다.
  [선택지: Y-Coating (94개) | Bright Finish (75개) | AlTiN (53개) | X-Coating (47개) | 상관없음]
👤 사용자: X-Coating 제품으로 날장이 100이상으로 추천해줘
🤖 AI assistant: 가공 목적이 뭔가요? 황삭(거친 가공)인지, 정삭(마무리)인지, 아니면 드릴+밀링 겸용인지 알려주세요.
  [선택지: Roughing (24개) | Square (15개) | Drill Mill (8개) | 상관없음 | ⟵ 이전 단계]
👤 사용자: 정삭을 할거야
🤖 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
  [선택지: 대체 후보 9개 보기 | 절삭조건 알려줘 | 코팅 비교 | 다른 직경 검색 | 처음부터 다시]
👤 사용자: 날장이 100이상으로 추천해줘
🤖 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
  [선택지: 대체 후보 9개 보기 | 절삭조건 알려줘 | 코팅 비교 | 다른 직경 검색 | 처음부터 다시]
👤 사용자: 그럼 이 제품 구매하려면 어디로 연락해야 하나요?? 
사업장은 구미에 있습니다.
🤖 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 있을 것으로 예상됩니다. 본사에 연락하시면 가장 가까운 거래처를 안내받으실 수 있습니다!
[Reference: AI 지식 추론 + 일반적인 YG-1 구매 프로세스]
  [선택지: 후보 제품 보기 | 절삭조건 문의 | 코팅 비교 | 처음부터 다시]
👤 사용자: 와이지원 본사 전시장이 경기도 의정부시에 있나요?? 본사는 인천 송도 아닌가요?
🤖 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
  [선택지: 후보 제품 보기 | 절삭조건 문의 | 코팅 비교 | 처음부터 다시]
👤 사용자: 와이지원은 의정부에 관련시설을 두고있지 않습니다.
🤖 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
  [선택지: 후보 제품 보기 | 절삭조건 문의 | 코팅 비교 | 처음부터 다시]
👤 사용자: 익산공장도 없습니다.
🤖 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
  [선택지: 후보 제품 보기 | 절삭조건 문의 | 코팅 비교 | 처음부터 다시]</t>
  </si>
  <si>
    <t>🎯 의도: 익산공장 존재 여부의 잘못된 정보를 바로잡고 확인받기
✅ 정답 행동: 익산공장 관련 언급을 사실 확인 없이 반복하지 말고, 사용자 정정 내용을 반영해 오정보를 인정해야 한다. 이후에는 YG-1 공식 채널 기준으로 공장/사업장 정보를 재확인 안내하거나, 제품 추천 맥락으로만 대화를 이어가야 한다.
⚠️ 당시 문제: 사용자가 이미 부정한 익산공장 정보를 다시 제시함
💬 코멘트 분석: 익산공장 관련 잘못된 정보를 계속 가져오는 점이 핵심 불만이다</t>
  </si>
  <si>
    <t>[한지희] "익산공장""이라는 잘못된 정보를 가지고 오고 있습니다.(익산에 공장이 없다고 전달하였습니다.)"</t>
  </si>
  <si>
    <t>fb-1774332260856-5919d72a</t>
  </si>
  <si>
    <t>RLH-0030</t>
  </si>
  <si>
    <t>조건 기반 추천 후 구매/본사 정보 문의, 채팅형 검색 개선 요청</t>
  </si>
  <si>
    <t>🎯 의도: 스테인리스 측면가공용 X-Coating, 날장 100 이상 제품 추천과 구매처 확인
✅ 정답 행동: 사용자가 조건을 바꿔가며 제품을 찾도록 돕고, 구미 사업장 기준으로 실제 구매 문의 경로를 안내해야 함. 본사/공장 위치는 확인 불가한 내용은 단정하지 말고 “공식 고객센터/영업팀 확인”으로 처리해야 함.
⚠️ 당시 문제: 본사·사업장 위치에 대해 부정확한 정보가 섞였고, 재고/공장 정보도 단정적으로 답함
💬 코멘트 분석: 버튼 클릭식만 말고 자유롭게 채팅으로 조건을 입력해 검색하는 방식도 추가해 달라는 요구</t>
  </si>
  <si>
    <t>[한지희] 제품 탐색 첫 단계에서 지금은 조건선택 버튼을 모두 클릭해야만 검색하여 결과를 알려주고 있는데, 다른 AI툴처럼 자유롭게 채팅으로 질문을 하는 방식도 추가되면 좋을 것 같습니다.</t>
  </si>
  <si>
    <t>fb-1774332500126-fc2c5b75</t>
  </si>
  <si>
    <t>RLH-0031</t>
  </si>
  <si>
    <t>신규 추천 시 다양한 후보를 넓게 제시하길 원함</t>
  </si>
  <si>
    <t>🧭 초기 조건: 문의 목적=신규 제품 추천
🤖 AI assistant: 안녕하세요! 현재 472개의 제품이 매칭됩니다. 먼저 날 수 선호도가 있으신가요? (2날/4날/상관없음)
  [선택지: 2날 (254개) | 4날 (218개) | 상관없음]
👤 사용자: 상관없음
🤖 AI assistant: 어떤 형상 가공하시나요? 모서리R 가공이면 CG3S47/CG3S60, 구멍 바닥 곡면이면 CG3S46 볼엔드밀이 적합합니다.
  [선택지: CG3S47 — 3S MILL 4 Flute&lt;br/&gt;30°Helix Corner Radius&lt;br/&gt;End mill (218개) | CG3S46 — 3S MILL 2 Flute&lt;br/&gt;30°Helix Ball End mill (156개) | CG3S60 — 3S MILL 2 Flute&lt;br/&gt;30°Helix Corner Radius&lt;br/&gt;End mill (84개) | CDRA04 — MULTI-1 DRILLS JOBBER (14개) | 상관없음]</t>
  </si>
  <si>
    <t>🎯 의도: 필터 정보가 부족할 때는 폭넓게 제품을 추천받고 싶음
✅ 정답 행동: 신규 제품 추천 초기에는 특정 형상/계열로 좁히지 말고, 가능한 여러 제품군을 대표 후보로 넓게 제시해야 함. 이후 사용자 가공 조건을 하나씩 확인하며 선택지를 줄여가는 방식으로 응대했어야 함.
⚠️ 당시 문제: 질문이 너무 빨리 특정 형상에 치우쳐 추천 폭이 좁아졌고, 드릴까지 섞여 혼선이 생김
💬 코멘트 분석: 초기에는 모름으로 체크한 만큼 최대한 다양한 제품을 먼저 나열해 달라는 요구임</t>
  </si>
  <si>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</si>
  <si>
    <t>fb-1774338860731-af1187d2</t>
  </si>
  <si>
    <t>RLH-0032</t>
  </si>
  <si>
    <t>5날 선택 후 재검색이 느리고 비효율적이었음</t>
  </si>
  <si>
    <t>🧭 초기 조건: 문의 목적=신규 제품 추천 / 피삭재 (소재)=고경도강 / 가공 형상=정면가공 / 공구 타입 / 현재 제품=엔드밀 / 공구 직경=12mm
🤖 AI assistant: 고경도강 12mm 정면가공용 엔드밀이시군요. 현재 186개 제품이 있습니다. 날 수 선호가 있으신가요? 4날이 범용적이고, 2날은 칩 배출이 좋고, 6날은 고능률 가공에 적합합니다.
  [선택지: 4날 (112개) | 2날 (51개) | 6날 (20개) | 5날 (3개) | 상관없음]
👤 사용자: 5날 (3개)
🤖 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
  [선택지: 대체 후보 2개 보기 | 절삭조건 알려줘 | 코팅 비교 | 다른 직경 검색 | 처음부터 다시]</t>
  </si>
  <si>
    <t>🎯 의도: 5날 제품 3개를 빠르게 재검색/추천받고 싶었음
✅ 정답 행동: 사용자가 5날을 선택하면 해당 3개 제품만 대상으로 즉시 좁혀서 재검색하고, 12mm 조건과의 일치 여부를 우선 확인해 추천해야 함. 전체 조건을 처음부터 다시 탐색하지 말고 선택된 날수 기준으로 결과를 빠르게 제시해야 함.
⚠️ 당시 문제: 5날 선택 후에도 처음부터 전체 검색을 한 것으로 보여 검색이 느리고 비효율적이었음
💬 코멘트 분석: 최초 선택된 5날 3개만 다시 검색되어야 하는데 전체 재검색처럼 동작한 점이 불만 핵심임</t>
  </si>
  <si>
    <t>[김명곤] 최초 검색 후 날수 5날(3개 제품)을 선택했으나 검색 시간이 너무 느림.
최초 검색시 표시된 5날에 해당되는 3개 제품에 대하여 재 검색이 되어야 하나 처음부터 모든 검색을 실시하는 것으로 추정됨.</t>
  </si>
  <si>
    <t>fb-1774394675014-1f99b602</t>
  </si>
  <si>
    <t>RLH-0033</t>
  </si>
  <si>
    <t>2개 제품 차이와 비교 오류를 설명 원함</t>
  </si>
  <si>
    <t>🧭 초기 조건: 문의 목적=신규 제품 추천 / 피삭재 (소재)=고경도강 / 가공 형상=정면가공 / 공구 타입 / 현재 제품=엔드밀 / 공구 직경=12mm
🤖 AI assistant: 고경도강 12mm 정면가공용 엔드밀이시군요. 현재 186개 제품이 있습니다. 날 수 선호가 있으신가요? 4날이 범용적이고, 2날은 칩 배출이 좋고, 6날은 고능률 가공에 적합합니다.
  [선택지: 4날 (112개) | 2날 (51개) | 6날 (20개) | 5날 (3개) | 상관없음]
👤 사용자: 5날 (3개)
🤖 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
  [선택지: 대체 후보 2개 보기 | 절삭조건 알려줘 | 코팅 비교 | 다른 직경 검색 | 처음부터 다시]
👤 사용자: #2번고 #3번에 대한 차이점은
🤖 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 구매 어려움
**SG9E77140:**
- 강점: 동일 스펙의 대체 제품
- 약점: 재고 상태 불명확, 구매 가능 여부 확인 필요
## 결론 및 추천
두 제품은 **동일한 시리즈의 거의 같은 사양**을 가진 제품입니다. X-Speed Multi Flute 황삭용 코너 R 엔드밀로, 경화강(H), 초경합금(K), 일반강(P) 가공에 모두 적합합니다.
**추천 용도:**
- **즉시 필요한 경우**: SG9E7714014S (재고 확인 가능)
- **대량 구매 필요시**: 두 제품 모두 재고 확인 후 구매 권장
- 두 제품 모두 황삭 작업, 다날 고속 가공에 적합하며 Multiple Helix 설계로 진동 감소 효과
*제품코드 끝 "14S""와 숫자 차이는 날 길이나 전체 길이 등 세부 사양 차이일 수 있으니</t>
  </si>
  <si>
    <t>🎯 의도: 두 제품의 실제 차이점을 정확히 비교하고, 검색 결과 불일치를 확인하려는 것
✅ 정답 행동: 제공된 데이터 기준으로 두 제품의 스펙 차이(특히 생크 직경 등)를 명확히 비교해야 함. 검색 결과가 동일 품목으로 보이는 이유와, 비교표에 데이터에 없는 항목이 섞였거나 빠진 점을 바로잡아 안내했어야 함.
⚠️ 당시 문제: 비교표에 제공 데이터에 없는 조건이 표시되고, 두 제품이 동일 품목처럼 처리된 점
💬 코멘트 분석: 비교 시 데이터에 있는 조건이 누락됐고, 생크 직경 차이인데 검색 결과는 동일 품목으로 표시된 점이 문제라는 요구/불만</t>
  </si>
  <si>
    <t>[김명곤] 제품 비교시 제공된 데이터에 있는 조건이 나오지 않음.
두 개 제품간에는 생크 직경이 다르나 검색 결과는 동일한 품목으로 표시됨.</t>
  </si>
  <si>
    <t>fb-1774396036060-b54bb72f</t>
  </si>
  <si>
    <t>RLH-0034</t>
  </si>
  <si>
    <t>구리 φ8 볼엔드밀 추천과 납기표시 기준 수정 요청</t>
  </si>
  <si>
    <t>🧭 초기 조건: 문의 목적=신규 제품 추천 / 피삭재 (소재)=구리 / 가공 형상=프로파일 / 공구 타입 / 현재 제품=엔드밀 / 공구 직경=8mm
🤖 AI assistant: 구리 소재에 φ8mm 엔드밀로 프로파일 가공이시군요. 현재 402개 후보가 있습니다.
코팅 선호도가 있으신가요? DLC, TiN, X-Coating 등 다양한 옵션이 있습니다.
  [선택지: TiN Coating (147개) | Bright Finish (118개) | X-Coating (48개) | DLC (22개) | 상관없음]
👤 사용자: DLC (22개)
🤖 AI assistant: 엔드밀 끝 형상이 어떤 게 필요하세요? 스퀘어(각), 볼(구), 라운드(R) 중에서요.
  [선택지: Radius (8개) | Square (7개) | Ball (7개) | 상관없음 | ⟵ 이전 단계]
👤 사용자: Ball (7개)
🤖 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
  [선택지: 대체 후보 6개 보기 | 절삭조건 알려줘 | 코팅 비교 | 다른 직경 검색 | 처음부터 다시]</t>
  </si>
  <si>
    <t>🎯 의도: 구리 프로파일 가공용 8mm 볼엔드밀을 추천받고, 납기 표시는 Plant 1000 기준으로 맞추길 원함
✅ 정답 행동: 공구 추천은 유지하되, 납기/재고 표시는 사용자가 제공한 Plant 1000 기준으로만 조회·표시해야 함. 또한 납기값이 0으로 표시되는 항목은 학습/추천 대상에서 제외하도록 처리해야 함.
⚠️ 당시 문제: 납기 정보 기준(Plant 1000) 반영 없이 일반 DB 기준으로 안내함
💬 코멘트 분석: 납기 정보는 Plant 1000 기준이어야 하며, 0 표시 대상은 제외해야 한다는 요구임</t>
  </si>
  <si>
    <t>[김명곤] 제가 전달해 드린 납기 정보중 Plant 1000에 해당되는 정보를 기준으로 납기 정보가 표시되어야 함.
0으로 표시된 대상은 학습 대상에서 제외 처리 되어야 함.</t>
  </si>
  <si>
    <t>fb-1774396989587-1d102772</t>
  </si>
  <si>
    <t>RLH-0035</t>
  </si>
  <si>
    <t>구리 8mm 프로파일 엔드밀 TiN 재조회 시 탭 추천 오류</t>
  </si>
  <si>
    <t>🧭 초기 조건: 문의 목적=신규 제품 추천 / 피삭재 (소재)=구리 / 가공 형상=프로파일 / 공구 타입 / 현재 제품=엔드밀 / 공구 직경=8mm
🤖 AI assistant: 구리 소재에 φ8mm 엔드밀로 프로파일 가공이시군요. 현재 402개 후보가 있습니다.
코팅 선호도가 있으신가요? DLC, TiN, X-Coating 등 다양한 옵션이 있습니다.
  [선택지: TiN Coating (147개) | Bright Finish (118개) | X-Coating (48개) | DLC (22개) | 상관없음]
👤 사용자: DLC (22개)
🤖 AI assistant: 엔드밀 끝 형상이 어떤 게 필요하세요? 스퀘어(각), 볼(구), 라운드(R) 중에서요.
  [선택지: Radius (8개) | Square (7개) | Ball (7개) | 상관없음 | ⟵ 이전 단계]
👤 사용자: Ball (7개)
🤖 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
  [선택지: 대체 후보 6개 보기 | 절삭조건 알려줘 | 코팅 비교 | 다른 직경 검색 | 처음부터 다시]
👤 사용자: 동일 조건의 TiN 코팅으로  다시 조회
🤖 AI assistant: 구리 가공용 8mm 엔드밀이 402개 있네요. DLC, X-Coating, TiAlN 중 선호하는 코팅이 있으신가요?
  [선택지: TiN Coating (147개) | Bright Finish (118개) | X-Coating (48개) | DLC (22개) | 상관없음]
👤 사용자: TiN Coating (147개)
🤖 AI assistant: Gun Point와 Spiral Flute 중 선호하시는 형태가 있으신가요? 각각 75개씩 있습니다.
  [선택지: Gun Point (75개) | Spiral Flute (75개) | 상관없음 | ⟵ 이전 단계]
👤 사용자: Gun Point (75개)
🤖 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
  [선택지: 대체 후보 9개 보기 | 절삭조건 알려줘 | 코팅 비교 | 다른 직경 검색 | 처음부터 다시]</t>
  </si>
  <si>
    <t>🎯 의도: 동일 조건의 TiN 코팅 엔드밀을 다시 조회
✅ 정답 행동: DLC→Ball 조건을 유지한 채 TiN 코팅의 8mm 엔드밀만 재검색해야 하며, 탭 제품은 제외하고 엔드밀/가공형상/직경 조건에 맞는 후보를 다시 제시해야 한다.
⚠️ 당시 문제: 엔드밀 재조회 요청인데 탭(TTS33) 제품이 추천됨
💬 코멘트 분석: 동일 조건 재조회에서 엔드밀이 아니라 탭이 나온 점이 핵심 불만이다</t>
  </si>
  <si>
    <t>[김명곤]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</si>
  <si>
    <t>fb-1774397632522-94c5c8f8</t>
  </si>
  <si>
    <t>RLH-0036</t>
  </si>
  <si>
    <t>국가 선택을 더 눈에 띄게 해달라는 요청</t>
  </si>
  <si>
    <t>🎯 의도: 제품탐색 첫단계에서 국가를 쉽게 지정하게 하려는 것
✅ 정답 행동: 추천 전 기본정보 확인 단계에 국가 선택을 더 전면적으로 배치하고, 사용자가 바로 인지·선택할 수 있게 안내해야 함. 국가 선택이 검색 결과 구체화와 탐색 시간 단축에 도움이 된다고 설명하고 UX 개선안을 반영해야 함.
⚠️ 당시 문제: 국가 선택이 하단 왼쪽에 있어 눈에 띄지 않음
💬 코멘트 분석: 국가 지정이 더 빨리 보이게 배치해 검색시간을 줄여달라는 요구</t>
  </si>
  <si>
    <t>[한지희] 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t>
  </si>
  <si>
    <t>fb-1774413983471-2c98b1b6</t>
  </si>
  <si>
    <t>RLH-0037</t>
  </si>
  <si>
    <t>램핑용 알루미늄 엔드밀을 찾았으나 범용/탭을 추천함</t>
  </si>
  <si>
    <t>🧭 초기 조건: 문의 목적=신규 제품 추천
🤖 AI assistant: 안녕하세요! 현재 500개의 제품이 매칭되고 있습니다. 먼저 날 수(flute) 선호가 있으신가요? 2날은 칩 배출이 좋고, 4날은 표면조도가 우수합니다.
  [선택지: 2날 (282개) | 4날 (218개) | 상관없음]
👤 사용자: 램핑가공을 하려고 하는데 어떤 공구를 써야할지 모르겠어요. 와이지원에서 램핑용 엔드밀이 제작 가능한가요?
🤖 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 램핑 가공에 적합한 기존 카탈로그 제품 추천
- 직경, 날수, 코팅 등 조건에 맞는 최적 모델 찾기
**특수 사양 제작 가능 여부**는 YG-1 영업팀 또는 기술지원팀에 직접 문의하시는 것을 권장드립니다. 표준 제품으로 해결 가능한지 먼저 확인해보시겠어요?
**지금 램핑 가공에 적합한 엔드밀을 찾아드릴까요?**
- 가공 소재(알루미늄, 강, 스테인리스 등)
- 공구 직경
- 선호하는 날수나 코팅
알려주시면 최적의 제품을 추천해드리겠습니다! 😊
[Reference: AI 지식 추론 + YG-1 제품 지식]
  [선택지: 절삭조건 알려줘 | 추천 코팅은? | 주의사항 더 알려줘 | 제품 추천]
👤 사용자: 가공소재는 알루미늄이에요. 인선이 7mm짜리도 있나요?
🤖 AI assistant: 116개 후보가 있네요. 날 수 선호 있으세요? 2날/3날/4날 중 원하시는 게 있으면 알려주세요.
  [선택지: 4날 (51개) | 2날 (50개) | 6날 (9개) | 3날 (6개) | 상관없음]
👤 사용자: 3날이상이면 좋겠어요
🤖 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(raw_catalog.prod_edp)
- 재고 정보: YG-1 내부 DB (inventory)
- 소재 적합성: 카탈로그 데이터 (신뢰도: medium)
  [선택지: 대체 후보 9개 보기 | 절삭조건 알려줘 | 코팅 비교 | 다른 직경 검색 | 처음부터 다시]</t>
  </si>
  <si>
    <t>🎯 의도: 램핑가공 가능한 알루미늄 전용 엔드밀 추천
✅ 정답 행동: 램핑 가공 목적에 맞는 N계열(알루미늄 전용) 엔드밀을 우선 찾아 추천했어야 합니다. 7mm, 3날 이상 조건과 함께 ALU-CUT HPC 같은 알루미늄 전용 램핑 대응 제품이 있는지 확인하고, 탭 제품은 제외했어야 합니다.
⚠️ 당시 문제: P.H계열 범용 4G MILL을 우선 추천했고, 알루미늄 전용 탭까지 혼동해 제안함
💬 코멘트 분석: 램핑용 알루미늄 전용 브랜드를 우선 제시하고 탭 추천은 부적절하다는 불만</t>
  </si>
  <si>
    <t>[한지희]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</si>
  <si>
    <t>fb-1774415936248-96cf0696</t>
  </si>
  <si>
    <t>RLH-0038</t>
  </si>
  <si>
    <t>티타늄 전용 난삭용 엔드밀 추천 요청과 오추천 지적</t>
  </si>
  <si>
    <t>🧭 초기 조건: 문의 목적=신규 제품 추천 / 피삭재 (소재)=티타늄 / 가공 형상=정면가공 / 공구 타입 / 현재 제품=엔드밀 / 공구 직경=4mm
🤖 AI assistant: 티타늄 정면가공용 φ4mm 엔드밀이시군요. 현재 154개 제품이 매칭됩니다. 날 수(3날/4날/5날/6날) 중 선호하시는 게 있으신가요?
  [선택지: 3mm | 4mm | 5mm | 6mm]
👤 사용자: 상관없어요
🤖 AI assistant: 날 수는 2날/4날 중 선호하시는 게 있으세요?
  [선택지: 2날 (130개) | 4날 (100개) | 3날 (9개) | 상관없음 | ⟵ 이전 단계]
👤 사용자: 2날이요
🤖 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
  [선택지: 대체 후보 9개 보기 | 절삭조건 알려줘 | 코팅 비교 | 다른 직경 검색 | 처음부터 다시]
👤 사용자: WIDE-CUT 은 비철금속 가공용 엔드밀이에요, WIDE-CUT으로 티타늄 가공을 할 수 있는게 맞나요 ??
🤖 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 AlTiN 등)과 공구 형상이 필요합니다
따라서 WIDE-CUT으로 티타늄을 가공하려고 하면 공구 수명이 극도로 짧아지거나 파손될 수 있으니 권장하지 않습니다.
[Reference: AI 지식 추론]
  [선택지: 절삭조건 알려줘 | 추천 코팅은? | 주의사항 더 알려줘 | 제품 추천]
👤 사용자: 그런데 왜 WIDE-CUT을 추천을 했나요? 잘못 추천하였습니다. 티타늄 전용 , 난삭용 엔드밀에는 어떤 제품이 있을까요??
🤖 AI assistant: 죄송합니다. 이전 추천이 부적절했다는 점 사과드립니다. 
현재 세션 상태를 보면 "2날"" 필터만 적용되어 있어서</t>
  </si>
  <si>
    <t>🎯 의도: 티타늄 가공에 맞는 전용/난삭재용 엔드밀 제품을 다시 추천받고자 함
✅ 정답 행동: 이전 WIDE-CUT 추천이 왜 부적절했는지 인정하고, 티타늄 전용 또는 난삭재용 엔드밀 제품들을 조건에 맞게 다시 제시했어야 함. 피삭재(티타늄)와 가공형상(정면가공)에 맞는 제품만 골라 설명하고, 필요 시 추가 조건을 물어봐야 함.
⚠️ 당시 문제: 비철금속용 WIDE-CUT을 티타늄에 적합한 제품처럼 추천한 점
💬 코멘트 분석: 피삭재와 실제 가공 가능한 제품의 매칭이 전반적으로 맞지 않다는 불만</t>
  </si>
  <si>
    <t>[한지희] 전반적으로 피삭재와 가공가능한 제품의 매칭이 잘 안되고 있습니다.</t>
  </si>
  <si>
    <t>fb-1774419400860-e3a47449</t>
  </si>
  <si>
    <t>RLH-0039</t>
  </si>
  <si>
    <t>A+</t>
  </si>
  <si>
    <t>⭐</t>
  </si>
  <si>
    <t>램핑용 날형상 추천을 요청했고, 코멘트는 문제 지적</t>
  </si>
  <si>
    <t>🧭 초기 조건: 문의 목적=신규 제품 추천 / 가공 방식=Milling
🤖 AI assistant: 공구 세부 타입이 중요한가요? Square (4484개), Radius (3070개), Ball (1105개) 등이 있습니다.
  [선택지: Square (4484개) | Radius (3070개) | Ball (1105개) | Roughing (447개) | 상관없음]
👤 사용자: 램핑 가공용이 있나요?
🤖 AI assistant: **램핑(Ramping) 가공**은 Z축으로 경사지게 내려가면서 가공하는 방식으로, 헬리컬 보간이나 트로코이달 밀링처럼 점진적으로 깊이를 늘려갑니다. YG-1의 절삭공구 중에서는 **고이송 엔드밀(High-Feed)**, **Square 타입**, **Roughing 타입**이 램핑 가공에 적합합니다.
현재 데이터베이스에서 램핑 전용으로 분류된 제품은 확인되지 않지만, **Helical Interpolation**(나선 보간) 또는 **Trochoidal**(트로코이달) 가공 방식을 지원하는 공구를 선택하시면 램핑 적용이 가능합니다.
어떤 소재를 가공하시는지, 그리고 공구 직경 범위를 알려주시면 램핑에 적합한 YG-1 제품을 추천해드리겠습니다.
다시 제품 추천으로 돌아갈게요. 공구 세부 타입이 중요한가요? Square (4484개), Radius (3070개), Ball (1105개) 등이 있습니다.
  [선택지: Square (4484개) | Radius (3070개) | Ball (1105개) | Roughing (447개) | 상관없음]
👤 사용자: 램핑 가공할 때는 무슨 날 형상이 좋나요?
🤖 AI assistant: 램핑 가공에서는 **예리한 절삭날**과 **연마된 레이크면**을 가진 공구가 효과적입니다. 특히 **Square 타입** 또는 **Radius 타입**(코너 R이 있는 형상)이 적합하며, 칩 배출이 원활한 **고나선각(45° 이상)** 설계가 중요합니다.
알루미늄이나 비철금속용으로는 **연마(Bright Finish)** 처리된 날이 구성인선 방지에 유리하고, 철강계는 **TiAlN/AlCrN 코팅**이 내마모성을 높입니다. 램프 각도는 재료와 공구 형상에 따라 보통 **3~5°** 정도로 설정하고, **일반 절삭 속도의 50~80%로 감속**하는 것이 안전합니다.
현재 표시된 제품 중 **ALU-CUT E5E83 시리즈**(3날, 45° 나선각, 연마)가 비철금속 램핑에 적합하며, 철강계라면 Square 타입에 코팅이 적용된 제품을 선택하시면 됩니다.
📌 웹 검색 참고 (내부 DB 외부 정보)
  [선택지: 쉽게 설명해줘 | 추천으로 골라줘 | 상관없음 | Square란? | Square]
👤 사용자: ball 은 안좋아요?
🤖 AI assistant: **램핑 가공**에서 **Ball(볼) 엔드밀**은 상황에 따라 다릅니다. 볼 엔드밀은 **구형 날 끝** 덕분에 곡면 가공에는 유리하지만, **램핑처럼 Z축으로 깊이를 늘리는 가공**에서는 중심부 절삭력이 약해 **Square나 Radius 타입보다 불리**합니다. 특히 중심 절삭 능력이 떨어져 떨림이나 공구 수명 저하가 발생할 수 있습니다.
램핑 전용으로는 **Square 또는 Radius(코너R) 타입**을 권장하며, 곡면 마무리가 필요한 경우에만 볼 엔드밀을 후속 공정으로 사용하는 것이 일반적입니다. 현재 추천 목록에도 **Square 계열**(E5E83 시리즈)이 램핑에 더 적합합니다.
📌 웹 검색 참고 (내부 DB 외부 정보): 건강 관련 "ball" 정보는 절삭공구와 무관하며, 축구 헤딩이나 개 운동 도구 등의 맥락에서 언급된 내용입니다.
  [선택지: 상관없음 | 더 보기 | ← 이전]
👤 사용자: 그럼 Radius 타입으로 해주세요 소재는 알루미늄 이구요
🤖 AI assistant: 알겠습니다. 알루미늄용 Radius 엔드밀로 좁혔습니다.
현재 3078개 제품이 있는데요, 날 수 선호가 있으신가요? 3날이 일반적이고, 2날은 칩 배출이 좋고, 4날 이상은 마무리에 유리합니다.
  [선택지: 2날 (1560개) | 4날 (1047개) | 3날 (449개) | 5날 (22개) | 상관없음 …]
👤 사용자: 3날 (449개)
🤖 AI assistant: 알겠습니다. 코팅은 어떤 걸로 하시겠어요? 현재 449개 중에 Bright Finish(무코팅), Y-Coating, DLC 등이 있습니다.
  [선택지: DLC (172개) | Bright Finish (98개) | Y-Coating (16개) | ALTIN (15개) | 상관없음 …]
👤 사용자: Bright Finish (98개)
🤖 AI assistant: 알루미늄 가공용으로 ALU-CUT for Korean Market GED7220050을 추천드립니다.
**추천 근거:**
• 3날 Bright Finish 조건 완벽 일치 (15/15pt)
• 알루미늄 전용 시리즈로 칩 배출 최적화
• φ20mm로 범용성 높은 사이즈
**절삭조건 (신뢰도 90%):**
• 절삭속도(Vc): 251 m/min
• 날당이송(fz): 0.096 mm/tooth
• 절삭깊이(ap): 0.2D
**대안:**
직경 변경 시 GED7216050(φ16mm), GED7212040(φ12mm)도 같은 스펙입니다. 16mm는 Vc=302로 더 빠르게 가공 가능합니다.
**주의:**
재고·납기 정보는 본사(032-526-0909) 또는 oos.yg1.solutions에서 확인하세요.
📋 Reference: YG-1 내부 DB (카탈로그·절삭조건 데이터)
  [선택지: 상위 3개 비교 | GED7220050 상세 정보 | 다른 코팅 옵션 보기 | φ20mm 외 다른 직경 | ⟵ 이전 단계로 돌아가기 …]
💬 사용자 최종 코멘트: "램핑 가공에 대한 정보를 날형상으로 변형하여 제안을 해줌"</t>
  </si>
  <si>
    <t>🎯 의도: 램핑 가공에 적합한 날 형상을 알고 싶음
✅ 정답 행동: 램핑 가공의 핵심 조건을 날 형상으로 직접 설명하고, Square/Radius/Ball 중 램핑에 유리한 형상을 비교해 추천했어야 함. 이후 소재(알루미늄) 기준으로 적합한 형상과 이유를 간단히 제시했어야 함.
⚠️ 당시 문제: 램핑 가공 정보를 날형상 추천으로 이어가긴 했지만, 사용자가 묻는 “날 형상” 관점에 맞춰 더 직접적이고 명확하게 답변했어야 함
💬 코멘트 분석: 램핑 가공 정보를 날형상 기준으로 바꿔 제안한 점이 아쉽다는 불만</t>
  </si>
  <si>
    <t>"램핑 가공에 대한 정보를 날형상으로 변형하여 제안을 해줌"
응답: 총 6개 응답</t>
  </si>
  <si>
    <t>sc-1774492195997-102ee2e3</t>
  </si>
  <si>
    <t>RLH-0040</t>
  </si>
  <si>
    <t>A</t>
  </si>
  <si>
    <t>👍</t>
  </si>
  <si>
    <t>4날로 바꾸려다 2날로 계속 추천됨</t>
  </si>
  <si>
    <t>🧭 초기 조건: 문의 목적=신규 제품 추천 / 피삭재 (소재)=알루미늄 / 가공 방식=Milling / 공구 직경=8mm
🤖 AI assistant [응답 👍] [선택지 👍]: 알루미늄 8mm 엔드밀이시군요. 현재 406개 제품이 매칭됩니다.
알루미늄 중에서도 구체적인 소재를 알려주시면 더 정확한 추천이 가능합니다. 어떤 소재인가요?
  [선택지: 비철금속 | 알루미늄 | 알루미늄 합금 | 상관없음]
👤 사용자: 알루미늄 합금
🤖 AI assistant [응답 👍] [선택지 👍]: 알루미늄 합금 밀링 가공용으로 **GENERAL HSS END MILLS CE7659908**을 추천드립니다.
**추천 근거:**
- 요청하신 φ8mm 직경과 정확히 일치합니다
- 4날 구조로 알루미늄 가공 시 칩 배출이 원활하며, X-Coating으로 내마모성이 우수합니다
- N군(비철금속) 소재 전용 설계로 알루미늄 합금 가공에 최적화되어 있습니다
- 현재 재고 보유 중으로 즉시 출고 가능합니다
**대안 옵션:**
만약 더 부드러운 표면조도가 필요하시면 **CE7406905**(2날, φ8mm)도 고려해볼 만합니다. 날 수가 적어 칩 공간이 넓어 고속 가공에 유리하지만, 4날 대비 공구 수명은 짧을 수 있습니다.
⚠️ **참고사항:**
- 절삭조건 데이터가 현재 확인되지 않아, 초기 가공 시 보수적인 조건(Vc 150-200m/min, fz 0.05-0.08mm/tooth)으로 시작 후 조정을 권장합니다
- 정확한 납기는 본사(032-526-0909)로 문의 부탁드립니다
📋 **Reference:** YG-1 내부 DB (카탈로그 데이터, 재고 정보)
  [선택지: 날수로 좁히기 (2날/4날) | 대체 후보 4개 비교하기 | 왜 이 제품을 추천했나요? | 절삭조건 알려줘 | 다른 코팅 옵션 보기 …]
👤 사용자: 날수로 좁히기 (2날/4날)
🤖 AI assistant [응답 👍] [선택지 👍]: 알루미늄 합금 가공용으로 **GENERAL HSS END MILLS CE7406905**를 추천드립니다.
**추천 근거:**
- 요청하신 φ8mm 직경과 정확히 일치합니다
- 2날 설계로 알루미늄 가공 시 칩 배출이 원활합니다
- X-Coating 처리로 비철금속(N군) 가공에 최적화되어 있습니다
**대안 제품:**
- **CE7406904** (φ7mm, 2날, X-Coating): 직경만 1mm 작고 나머지 스펙 동일
- **CE7406090** (φ9mm, 2날, TiCN): 직경 1mm 크고 TiCN 코팅 적용
**주의사항:**
- 재고 및 납기 정보는 본사(032-526-0909) 또는 온라인주문(oos.yg1.solutions)에서 확인하세요
- 절삭조건은 현재 데이터에 없으므로 카탈로그 참조가 필요합니다
📋 **Reference:** YG-1 내부 DB (카탈로그 스펙 데이터)
  [선택지: 코팅으로 좁히기 (X-Coating/TiCN) | 대체 후보 4개 비교하기 | 왜 이 제품을 추천했나요? | 절삭조건 알려줘 | 다른 직경 검색 …]
👤 사용자: 너가 2날 4날로 나누려고 했는데 지금 제품들 2날들이라는 말이지 ?
🤖 AI assistant [응답 👍] [선택지 👍]: 네, 맞습니다! 
"날수로 좁히기 (2날/4날)" 칩을 선택하셨을 때 제가 **2날 제품만** 필터링해서 보여드린 것입니다. 현재 표시된 5개 제품(CE7406905, CE7406904, CE7406090, CE7406903, CE7406100)은 모두 **2날(2F)** 엔드밀입니다.
4날 제품도 보시겠습니까? 아니면 2날 중에서 코팅(X-Coating/TiCN)으로 추가 선택하시겠습니까?
  [선택지: 쉽게 설명해줘 | 추천으로 골라줘 | 상관없음 | 제품 분류 기준(2날 vs 4날 구분) 설명해줘]
👤 사용자: 제품 분류 기준(2날 vs 4날 구분) 설명해줘
🤖 AI assistant [응답 👍] [선택지 👍]: 엔드밀의 **날수(Flute Count)**는 가공 특성에 따라 선택하는 중요한 기준입니다.
**2날 엔드밀:**
- 넓은 칩 배출 공간으로 알루미늄처럼 긴 칩이 나오는 소재에 유리합니다
- 높은 이송 속도 가능, 깊은 홈/슬롯 가공에 적합합니다
- 강성이 상대적으로 낮아 진동이 발생할 수 있습니다
**4날 엔드밀:**
- 강성이 높아 진동이 적고 면조도가 우수합니다
- 정밀 가공, 측면 가공, 황삭/정삭 겸용에 적합합니다
- 칩 배출 공간이 좁아 알루미늄 가공 시 칩 막힘 주의가 필요합니다
알루미늄 합금은 일반적으로 **2날**을 권장하지만, 정밀도가 중요하거나 얕은 깊이 가공이면 4날도 고려할 수 있습니다.
  [선택지: 쉽게 설명해줘 | 추천으로 골라줘 | 상관없음 | product_classification_criteria 설명해줘]
👤 사용자: 추천으로 골라줘
🤖 AI assistant [응답 👍] [선택지 👍]: **브랜드명:** GENERAL HSS END MILLS | **제품코드:** CE7406905
알루미늄 가공용으로 **CE7406 시리즈 CE7406905**를 추천드립니다.
**추천 근거:**
• 요청하신 8mm 직경과 정확히 일치합니다
• 2날 구조로 알루미늄 가공 시 칩 배출이 원활합니다
• X-Coating 적용으로 비철금속(N군) 가공에 최적화되어 있습니다
**대안 옵션:**
직경이 약간 다르지만 같은 시리즈에서 7mm(CE7406904, X-Coating) 또는 9mm(CE7406090, TiCN) 제품도 가능합니다. 7mm는 동일한 X-Coating으로 표면조도가 우수하고, 9mm는 TiCN 코팅으로 내마모성이 좋습니다.
**주의사항:**
재고 및 납기 정보는 확인이 필요합니다. 본사(032-526-0909)로 문의하시거나 온라인 주문 시스템(oos.yg1.solutions)에서 확인 가능합니다.
📋 **Reference:** YG-1 내부 DB (카탈로그 데이터)
  [선택지: 코팅으로 좁히기 (X-Coating/TiCN) | 대체 후보 4개 비교하기 | 왜 이 제품을 추천했나요? | 절삭조건 알려줘 | 다른 직경 검색 …]
👤 사용자: 4날로 갑자기 변경하고 싶어짐
🤖 AI assistant [응답 👍]: 4날(4플루트)로 변경하여 알루미늄 합금 절삭용 추천 제품을 다시 검색하겠습니다.
👤 사용자: 네 해줘요
🤖 AI assistant [응답 👍] [선택지 👍]: 알루미늄 합금 8mm 가공용으로 **TANK-POWER GAA29080**을 추천드립니다.
**추천 근거:**
1. 알루미늄 전용 설계 — 2날 구조로 칩 배출이 원활하고 고속 가공에 최적화
2. TiAlN 코팅으로 내마모성 확보 — 알루미�num 가공 시 공구 수명 연장
3. 재고 보유 중 — 즉시 출고 가능
**대안:**
- **EG910080 (ALU-POWER)**: TiCN 코팅, 알루미늄 전용 브랜드로 표면조도가 더 중요한 경우 고려
- **E5930080 (ALU-POWER)**: 무코팅(Bright Finish), 고속 가공 시 칩 용착 방지에 유리
- **CE7406905**: X-Coating으로 범용성 높음 (N/P 소재까지 대응 가능)
**주의사항:**
- 납기 정보 확인 불가 — 재고 소진 시 본사(032-526-0909) 문의 필요
- 절삭조건 데이터 없음 — 초기 가공 시 보수적 조건으로 시작 권장
📋 **Reference:** YG-1 내부 DB (카탈로그 스펙, 재고 정보)
  [선택지: 코팅으로 좁히기 (TiAlN/TiCN/Bright Finish) | 대체 후보 4개 비교하기 | 왜 이 제품을 추천했나요? | 절삭조건 알려줘 | 시리즈 차이 설명해줘 (GAA29 vs EG910) …]
👤 사용자: 지금 날수 4개 짜리들이야? 코팅으로 더 좁히자
🤖 AI assistant [응답 👍] [선택지 👍]: 알루미늄 가공용으로 **TANK-POWER GAA29080**을 추천드립니다.
**추천 근거:**
1. 요청하신 8mm 직경에 정확히 일치 (exact match)
2. 알루미늄 합금(N군) 최적화 제품으로 비철 가공에 특화
3. 2날 설계로 칩 배출이 원활하고 고속 가공 가능
4. TiAlN 코팅으로 내마모성 향상 및 건식 가공 지원
5. 현재 재고 보유 중으로 즉시 출고 가능
**대안 비교:**
- GAA29090(9mm), GAA29070(7mm): 직경만 다르고 동일 시리즈. 가공 구멍 크기에 따라 선택 가능
- 모두 TANK-POWER 라인으로 알루미늄 고속 가공에 검증된 제품들입니다
**주의사항:**
- 절삭조건(Vc, fz) 정보가 DB에 없어 카탈로그 또는 본사(032-526-0909) 확인 필요
- 납기 정보 미제공 (재고 있음은 확인)
📋 **Reference:** YG-1 내부 DB (카탈로그 스펙, 재고 정보)
  [선택지: 대체 후보 4개 비교하기 | 절삭조건 알려줘 | 왜 이 제품을 추천했나요? | 다른 코팅 옵션 보기 | 다른 직경 검색 …]</t>
  </si>
  <si>
    <t>🎯 의도: 알루미늄 합금용 4날 8mm 제품으로 다시 추천받기
✅ 정답 행동: 사용자가 4날로 전환을 요청했으므로, 2날 제품 추천을 멈추고 4날(4F) 조건으로 필터링해 후보를 다시 제시했어야 합니다. 코팅 좁히기 요청이 있으면 4날 후보 내에서 코팅별 비교로 이어가야 합니다.
⚠️ 당시 문제: 4날로 바꾸겠다는 요청 이후에도 2날 제품을 계속 추천함
💬 코멘트 분석: 4날로 전환한 뒤에도 2날만 보여준 점이 핵심 불만입니다</t>
  </si>
  <si>
    <t>최종 평가: 👍 / 응답: 👍9 총 9개 응답 / 선택지: 👍8</t>
  </si>
  <si>
    <t>tf-evt-mn5lzci0-6sefbt0r</t>
  </si>
  <si>
    <t>RLH-0041</t>
  </si>
  <si>
    <t>코너R 슬롯용 공구와 형상/치형을 문의함</t>
  </si>
  <si>
    <t>🧭 초기 조건: 문의 목적=신규 제품 추천 / 피삭재 (소재)=티타늄 / 가공 형상=Slotting / 가공 방식=Milling / 공구 직경=10mm
🤖 AI assistant [응답 👍] [선택지 👍]: 티타늄 소재, 슬로팅 가공, φ10mm 조건으로 353개 제품이 매칭됩니다. 티타늄 중에서도 세부 소재를 선택해주시면 더 정확한 추천이 가능합니다. 어떤 소재인가요?
[내열합금 | 니켈 기반 내열합금 | 인코넬 | 철 기반 내열합금 | 코발트 기반 내열합금 | 티타늄 | 티타늄 합금 | 티타늄강 | 상관없음]
  [선택지: 내열합금 | 니켈 기반 내열합금 | 인코넬 | 철 기반 내열합금 | 코발트 기반 내열합금 …]
👤 사용자: 상관없음
🤖 AI assistant [응답 👍] [선택지 👎]: 알겠습니다. 코팅 선호는 있으신가요? (예: TiAlN, DLC, 무코팅 등)
  [선택지: 4날 (200개) | 6날 (51개) | 3날 (41개) | 5날 (32개) | 상관없음 …]
👤 사용자: 4날 (200개)
🤖 AI assistant [응답 👍] [선택지 👍]: 4날로 200개까지 좁혔습니다. 코팅 종류 선호가 있으신가요? 현재 후보 중에 Y-Coating(티타늄 특화), K2(범용 고경도), TiAlN(내열성) 등이 있습니다.
  [선택지: Y-Coating (71개) | TiAlN (57개) | AlTiN (33개) | T-Coating (31개) | 상관없음 …]
👤 사용자: Y-Coating (71개)
🤖 AI assistant [응답 👍] [선택지 👍]: 티타늄 슬롯팅 가공용으로 **V7 PLUS GMG55100**을 추천드립니다.
**추천 근거:**
1. **티타늄(S군) 전용 최적화** - GMG55 시리즈는 난삭재 가공에 특화된 4날 엔드밀로, Y-Coating이 티타늄 가공 시 공구 수명을 극대화합니다.
2. **슬롯팅 전용 설계** - 요청하신 10mm 직경, 4날 구성으로 측면 절입 시 진동을 최소화하며 칩 배출이 원활합니다.
3. **범용성** - H/K/M/P/S 소재군 전체 대응 가능하여 다품종 가공에도 활용할 수 있습니다.
**대안 제품:**
- **GMG40100** (TitaNox-Power): M/P/S 소재 전문. 티타늄만 집중 가공한다면 이쪽이 공구비 대비 효율적일 수 있습니다.
- **GMF63100** (V7 PLUS): GMG55와 동일 스펙이나 시리즈 차이. 재고 상황에 따라 선택 가능합니다.
**주의사항:**
- 절삭조건(Vc, fz) 데이터가 없어 초기 가공 시 보수적으로 시작 권장. 기술지원(032-526-0909) 문의 추천.
- 납기 정보 미확인. 긴급 시 재고 확인 필요.
📋 **Reference:**
- 제품 스펙: YG-1 내부 DB (카탈로그 데이터)
- 재고 정보: YG-1 내부 DB
- 절삭조건: 정보 없음 (기술지원 문의 필요)
  [선택지: 대체 후보 4개 비교하기 | 절삭조건 알려줘 | 왜 이 제품을 추천했나요? | 다른 코팅 옵션 보기]
👤 사용자: GMG55 시리즈와 GMG40 시리즈의 차이점?
🤖 AI assistant [응답 👍] [선택지 👍]: GMG55와 GMG40의 가장 큰 차이는 형상으로, GMG55는 Ball 엔드밀이고 GMG40은 Corner Radius 엔드밀입니다. GMG55는 V7 PLUS 브랜드의 볼 형상으로 측면 가공, 프로파일링, 소형 부품 가공에 적합하며 직경 φ3~25mm로 소경부터 제공되고, GMG40은 TITANOX-POWER 브랜드의 코너 R 형상으로 측면 가공, 슬롯팅, 금형 가공, 페이싱까지 다양한 작업이 가능하며 직경은 φ6~25mm부터 시작합니다. 두 제품 모두 4날, 다중 헬릭스 설계로 진동을 억제하지만, GMG40은 Double Core 구조로 강성과 칩 배출이
GMG55 vs GMG40 시리즈를 내부 DB 기준으로 비교했습니다.
| 항목 | GMG55 | GMG40 |
| --- | --- | --- |
| 브랜드 | V7 PLUS | TITANOX-POWER |
| 설명 | V7 PLUS 4 Flute&lt;br/&gt;Multiple Helix Regular&lt;br/&gt;Ball End mill | TitaNox-Power 4 Flute&lt;br/&gt;Multiple Helix Double Core&lt;br/&gt;Corner Radius End mill |
| 주요 feature | ▶ Special flute geometry and multiple helix eliminate vibrations&lt;br/&gt;&lt;br/&gt;▶ Excellent performance for Stainless Steels, Mild Steels, Cast Iron, Low/Medium hardness materials under HRc40 | ▶ Double Core E/M has a Unique Flute Design for excellent chip evacuation and higher rigidity&lt;br/&gt;&lt;br/&gt;▶ The double core adds stability and aids chip flow, reducing tool deflection, improving&lt;br/&gt;dimensional stability and workpiece accuracy |
| 공구 타입 | Solid | Solid |
| 형상 | Side_Milling,Profiling,Small_Part, NONE, Ball | Side_Milling,Slotting,Die-Sinking,Corner_Radius,Small_Part,Facing, NONE, Corner Radius |
| 날 수 | 4날 | 4날 |
| 코팅 | Y-Coating | Y-Coating |
| 공구 소재 | Carbide | Carbide |
| 직경 범위 | φ3~25mm | φ6~25mm |
| ISO | - | - |
| 피삭재 | Alloy Steels, Carbon Steels, Cast Iron, Hardened Steels(HRc40~45), Hardened Steels(HRc45~55) 외 4개 | Alloy Steels, Carbon Steels, Cast Iron, Inconel, Prehardened Steels 외 2개 |
| HRC | - | - |
[Reference: YG-1 내부 DB]
  [선택지: 다른 시리즈 비교 | 브랜드 비교 | 추천 제품 보기]
👤 사용자: Slot 가공에 Ball 형상이 어울리나요? 추천한 이유가 뭘까요? Slot 가공에 어울리는 형상은 뭐에요?
🤖 AI assistant [응답 👎]: YG-1 주요 수상: 2024.11 기술혁신상 (TitaNox-Power HPC) — 한국기계가공학회 / 2018.06 대한민국 일자리 으뜸기업 대통령표창 / 2015.12 EY 올해의 최고 기업가상 / 2013.12 세계일류상품 인증 — 산업부 / 2012.04 World Class 300 / 대통령상
👤 사용자: Slot 가공에 맞는 end teeth는 뭡니까?
🤖 AI assistant [응답 👎] [선택지 👎]: Slot 가공(홈 가공)에 적합한 end teeth(엔드 치형) 구조에 대해 설명드리겠습니다.
**Slot 가공에 적합한 End Teeth:**
1. **Center Cutting (센터 컷팅)**
 - Slot 가공의 가장 중요한 조건은 **중심 절삭 능력**입니다
 - 공구 중심부까지 날이 있어 직접 소재에 수직 진입(plunging) 가능
 - 대부분의 4날 이상 엔드밀은 센터 컷팅 구조
2. **날수에 따른 특성:**
 - **2날**: 칩 배출 공간이 넓어 깊은 슬롯 가공에 유리, 강성은 다소 낮음
 - **4날**: 가장 범용적, 절삭력 분산과 칩 배출 균형이 좋음 (현재 선택된 옵션)
 - **다날(6날 이상)**: 얕은 슬롯, 고속 가공에 유리하지만 칩 배출이 불리
3. **엔드 형상:**
 - **Flat(Square) End**: 평평한 바닥면의 슬롯 가공에 최적
 - **Stub Length**: 짧은 날 길이로 강성 확보, 진동 최소화
**현재 선택된 4날 + Y-Coating 조합**은 일반적인 슬롯 가공에 매우 적합한 선택입니다.
현재 71개의 추천 제품이 준비되어 있습니다. 구체적인 제품을 확인하시겠습니까?
[Reference: AI 지식 추론 + YG-1 내부 DB]
  [선택지: ⟵ 이전 단계 | 처음부터 다시]
👤 사용자: 제품 중에서 코너래디우스만 추천해주세요
🤖 AI assistant [응답 👍] [선택지 👍]: 티타늄 슬로팅 가공용으로 **TitaNox-Power GMG40100**을 추천드립니다.
**추천 근거:**
1. **티타늄 전용 설계** - TitaNox-Power 시리즈는 난삭재인 티타늄(S군) 가공에 최적화된 라인입니다
2. **슬로팅 전용 형상** - 4날 코너 R 타입으로 측면 절입 시 절삭 저항을 최소화하고 칩 배출이 원활합니다
3. **Y-Coating 적용** - 고온 환경에서 공구 수명을 연장하며, 요청하신 조건과 100% 일치합니다
**대안 제품:**
- **GMF63100 (V7 PLUS)**: 범용성이 높아 다양한 소재(H/K/M/P/S군) 가공이 가능합니다. 티타늄 외에 다른 소재도 함께 작업하신다면 이쪽이 유리합니다
- GMG40906/907/905: 동일 시리즈 내 날길이/전장 옵션으로, 가공 깊이에 따라 선택 가능합니다
**주의사항:**
- 절삭조건 데이터가 현재 확인되지 않습니다. 정확한 Vc, fz 값은 카탈로그 확인이 필요합니다
- 재고는 있으나 납기 정보가 없어, 긴급 주문 시 담당자 확인을 권장합니다 (본사 032-526-0909)
📋 **Reference:**
- 제품 스펙 및 재고: YG-1 내부 DB (카탈로그 검증 완료)
- 절삭조건: 정보 없음 (카탈로그 확인 필요)
  [선택지: 대체 후보 4개 비교하기 | 절삭조건 알려줘 | 왜 이 제품을 추천했나요? | 다른 코팅 옵션 보기]</t>
  </si>
  <si>
    <t>🎯 의도: 티타늄 Slot 가공에 맞는 코너래디우스 공구와 적합 형상/치형을 알고 싶음
✅ 정답 행동: 코너래디우스 형상만 원한다면 GMG40 계열의 Corner Radius 제품으로 좁혀 안내하고, Slot 가공에 왜 Corner Radius가 맞는지와 Center Cutting/날수 등 핵심 치형을 정확히 설명해야 함. Ball 형상은 Slot용이 아니라는 점을 분명히 구분해 추천해야 함.
⚠️ 당시 문제: Ball 형상을 Slot 가공에 적합한 것처럼 혼동되게 설명한 점
💬 코멘트 분석: 코너래디우스 형상만으로 제품 추천 범위를 좁히고 싶다는 요구</t>
  </si>
  <si>
    <t>최종 평가: 👍 / 응답: 👍6 👎2 총 8개 응답 / 선택지: 👍5 👎2</t>
  </si>
  <si>
    <t>tf-evt-mn4vxpya-ive51s0e</t>
  </si>
  <si>
    <t>RLH-0042</t>
  </si>
  <si>
    <t>2날/4날 기준 설명 후 4날 추천 요청</t>
  </si>
  <si>
    <t>🧭 초기 조건: 문의 목적=신규 제품 추천 / 피삭재 (소재)=알루미늄 / 가공 방식=Milling / 공구 직경=8mm
🤖 AI assistant [응답 👍] [선택지 👍]: 알루미늄 8mm 엔드밀이시군요. 현재 406개 제품이 매칭됩니다.
알루미늄 중에서도 구체적인 소재를 알려주시면 더 정확한 추천이 가능합니다. 어떤 소재인가요?
  [선택지: 비철금속 | 알루미늄 | 알루미늄 합금 | 상관없음]
👤 사용자: 알루미늄 합금
🤖 AI assistant [응답 👍] [선택지 👍]: 알루미늄 합금 밀링 가공용으로 **GENERAL HSS END MILLS CE7659908**을 추천드립니다.
**추천 근거:**
- 요청하신 φ8mm 직경과 정확히 일치합니다
- 4날 구조로 알루미늄 가공 시 칩 배출이 원활하며, X-Coating으로 내마모성이 우수합니다
- N군(비철금속) 소재 전용 설계로 알루미늄 합금 가공에 최적화되어 있습니다
- 현재 재고 보유 중으로 즉시 출고 가능합니다
**대안 옵션:**
만약 더 부드러운 표면조도가 필요하시면 **CE7406905**(2날, φ8mm)도 고려해볼 만합니다. 날 수가 적어 칩 공간이 넓어 고속 가공에 유리하지만, 4날 대비 공구 수명은 짧을 수 있습니다.
⚠️ **참고사항:**
- 절삭조건 데이터가 현재 확인되지 않아, 초기 가공 시 보수적인 조건(Vc 150-200m/min, fz 0.05-0.08mm/tooth)으로 시작 후 조정을 권장합니다
- 정확한 납기는 본사(032-526-0909)로 문의 부탁드립니다
📋 **Reference:** YG-1 내부 DB (카탈로그 데이터, 재고 정보)
  [선택지: 날수로 좁히기 (2날/4날) | 대체 후보 4개 비교하기 | 왜 이 제품을 추천했나요? | 절삭조건 알려줘 | 다른 코팅 옵션 보기 …]
👤 사용자: 날수로 좁히기 (2날/4날)
🤖 AI assistant [응답 👍] [선택지 👍]: 알루미늄 합금 가공용으로 **GENERAL HSS END MILLS CE7406905**를 추천드립니다.
**추천 근거:**
- 요청하신 φ8mm 직경과 정확히 일치합니다
- 2날 설계로 알루미늄 가공 시 칩 배출이 원활합니다
- X-Coating 처리로 비철금속(N군) 가공에 최적화되어 있습니다
**대안 제품:**
- **CE7406904** (φ7mm, 2날, X-Coating): 직경만 1mm 작고 나머지 스펙 동일
- **CE7406090** (φ9mm, 2날, TiCN): 직경 1mm 크고 TiCN 코팅 적용
**주의사항:**
- 재고 및 납기 정보는 본사(032-526-0909) 또는 온라인주문(oos.yg1.solutions)에서 확인하세요
- 절삭조건은 현재 데이터에 없으므로 카탈로그 참조가 필요합니다
📋 **Reference:** YG-1 내부 DB (카탈로그 스펙 데이터)
  [선택지: 코팅으로 좁히기 (X-Coating/TiCN) | 대체 후보 4개 비교하기 | 왜 이 제품을 추천했나요? | 절삭조건 알려줘 | 다른 직경 검색 …]
👤 사용자: 너가 2날 4날로 나누려고 했는데 지금 제품들 2날들이라는 말이지 ?
🤖 AI assistant [응답 👍] [선택지 👍]: 네, 맞습니다! 
"날수로 좁히기 (2날/4날)" 칩을 선택하셨을 때 제가 **2날 제품만** 필터링해서 보여드린 것입니다. 현재 표시된 5개 제품(CE7406905, CE7406904, CE7406090, CE7406903, CE7406100)은 모두 **2날(2F)** 엔드밀입니다.
4날 제품도 보시겠습니까? 아니면 2날 중에서 코팅(X-Coating/TiCN)으로 추가 선택하시겠습니까?
  [선택지: 쉽게 설명해줘 | 추천으로 골라줘 | 상관없음 | 제품 분류 기준(2날 vs 4날 구분) 설명해줘]
👤 사용자: 제품 분류 기준(2날 vs 4날 구분) 설명해줘
🤖 AI assistant [응답 👍] [선택지 👍]: 엔드밀의 **날수(Flute Count)**는 가공 특성에 따라 선택하는 중요한 기준입니다.
**2날 엔드밀:**
- 넓은 칩 배출 공간으로 알루미늄처럼 긴 칩이 나오는 소재에 유리합니다
- 높은 이송 속도 가능, 깊은 홈/슬롯 가공에 적합합니다
- 강성이 상대적으로 낮아 진동이 발생할 수 있습니다
**4날 엔드밀:**
- 강성이 높아 진동이 적고 면조도가 우수합니다
- 정밀 가공, 측면 가공, 황삭/정삭 겸용에 적합합니다
- 칩 배출 공간이 좁아 알루미늄 가공 시 칩 막힘 주의가 필요합니다
알루미늄 합금은 일반적으로 **2날**을 권장하지만, 정밀도가 중요하거나 얕은 깊이 가공이면 4날도 고려할 수 있습니다.
  [선택지: 쉽게 설명해줘 | 추천으로 골라줘 | 상관없음 | product_classification_criteria 설명해줘]
👤 사용자: 추천으로 골라줘
🤖 AI assistant [응답 👍] [선택지 👍]: **브랜드명:** GENERAL HSS END MILLS | **제품코드:** CE7406905
알루미늄 가공용으로 **CE7406 시리즈 CE7406905**를 추천드립니다.
**추천 근거:**
• 요청하신 8mm 직경과 정확히 일치합니다
• 2날 구조로 알루미늄 가공 시 칩 배출이 원활합니다
• X-Coating 적용으로 비철금속(N군) 가공에 최적화되어 있습니다
**대안 옵션:**
직경이 약간 다르지만 같은 시리즈에서 7mm(CE7406904, X-Coating) 또는 9mm(CE7406090, TiCN) 제품도 가능합니다. 7mm는 동일한 X-Coating으로 표면조도가 우수하고, 9mm는 TiCN 코팅으로 내마모성이 좋습니다.
**주의사항:**
재고 및 납기 정보는 확인이 필요합니다. 본사(032-526-0909)로 문의하시거나 온라인 주문 시스템(oos.yg1.solutions)에서 확인 가능합니다.
📋 **Reference:** YG-1 내부 DB (카탈로그 데이터)
  [선택지: 코팅으로 좁히기 (X-Coating/TiCN) | 대체 후보 4개 비교하기 | 왜 이 제품을 추천했나요? | 절삭조건 알려줘 | 다른 직경 검색 …]
👤 사용자: 4날로 갑자기 변경하고 싶어짐
🤖 AI assistant [응답 👍]: 4날(4플루트)로 변경하여 알루미늄 합금 절삭용 추천 제품을 다시 검색하겠습니다.
👤 사용자: 네 해줘요
🤖 AI assistant [응답 👍] [선택지 👍]: 알루미늄 합금 8mm 가공용으로 **TANK-POWER GAA29080**을 추천드립니다.
**추천 근거:**
1. 알루미늄 전용 설계 — 2날 구조로 칩 배출이 원활하고 고속 가공에 최적화
2. TiAlN 코팅으로 내마모성 확보 — 알루미�num 가공 시 공구 수명 연장
3. 재고 보유 중 — 즉시 출고 가능
**대안:**
- **EG910080 (ALU-POWER)**: TiCN 코팅, 알루미늄 전용 브랜드로 표면조도가 더 중요한 경우 고려
- **E5930080 (ALU-POWER)**: 무코팅(Bright Finish), 고속 가공 시 칩 용착 방지에 유리
- **CE7406905**: X-Coating으로 범용성 높음 (N/P 소재까지 대응 가능)
**주의사항:**
- 납기 정보 확인 불가 — 재고 소진 시 본사(032-526-0909) 문의 필요
- 절삭조건 데이터 없음 — 초기 가공 시 보수적 조건으로 시작 권장
📋 **Reference:** YG-1 내부 DB (카탈로그 스펙, 재고 정보)
  [선택지: 코팅으로 좁히기 (TiAlN/TiCN/Bright Finish) | 대체 후보 4개 비교하기 | 왜 이 제품을 추천했나요? | 절삭조건 알려줘 | 시리즈 차이 설명해줘 (GAA29 vs EG910) …]</t>
  </si>
  <si>
    <t>🎯 의도: 알루미늄 합금용 4날 제품으로 다시 추천받기
✅ 정답 행동: 4날 조건으로 제품을 다시 필터링해 알루미늄 합금 8mm에 맞는 4날 엔드밀만 추천해야 한다. 2날 제품을 섞지 말고, 왜 4날이 필요한지 간단히 근거를 제시한 뒤 대안 1~2개만 제시하면 된다.
⚠️ 당시 문제: 4날로 바꿔 달랬는데 2날 제품을 추천함
💬 코멘트 분석: 4날로 조건을 변경했으니 그 기준으로 정확히 다시 추천해달라는 요구임</t>
  </si>
  <si>
    <t>최종 평가: 👍 / 응답: 👍8 총 8개 응답 / 선택지: 👍7</t>
  </si>
  <si>
    <t>tf-evt-mn5lx500-iu54uol7</t>
  </si>
  <si>
    <t>RLH-0043</t>
  </si>
  <si>
    <t>알루미늄 밀링용 2날 Square 공구 추천 요구</t>
  </si>
  <si>
    <t>🧭 초기 조건: 문의 목적=신규 제품 추천 / 피삭재 (소재)=알루미늄 / 가공 방식=Milling
🤖 AI assistant [응답 👍] [선택지 👍]: 안녕하세요! 알루미늄 소재 밀링 가공을 위한 제품을 찾아드리겠습니다.
현재 조건으로 1,852개의 제품이 검색되었습니다. 더 정확한 추천을 위해 몇 가지 조건을 좁혀가겠습니다.
선택하신 소재는 ISO N (비철)군입니다. 세부 피삭재를 선택해주시겠습니까?
• 비철금속 (177개) - 알루미늄 외 구리, 황동 등 포함
• 알루미늄 (275개) - 순수 알루미늄 계열
• 알루미늄 합금 (98개) - A6061, A7075 등 합금 계열
• 상관없음 - 현재 조건 그대로 진행
어떤 피삭재로 좁혀드릴까요?
  [선택지: 비철금속 (177개) | 알루미늄 (275개) | 알루미늄 합금 (98개) | 상관없음 | 📋 지금 바로 제품 보기 (1852개) …]
👤 사용자: 알루미늄 (275개)
🤖 AI assistant [응답 👍] [선택지 👍]: 네, 알루미늄 가공용 제품이 현재 275개 있습니다.
알루미늄은 연질 소재로 절삭이 쉬운 편이지만, 칩 배출과 표면 품질 관리가 중요합니다. YG-1의 ALU-CUT 시리즈는 알루미늄 전용으로 설계되어 날당 이송량이 크고 칩 배출이 우수합니다.
현재 후보를 더 좁히기 위해 몇 가지 조건을 여쭤보겠습니다.
**날 수(Flute) 선호가 있으신가요?**
- 2날: 칩 배출 공간이 넓어 깊은 홈 가공이나 고속 가공에 유리
- 3날: 범용성이 좋고 표면 조도가 우수 (가장 많이 사용)
- 4날 이상: 마무리 가공이나 고경도 알루미늄 가공에 적합
선호하시는 날 수가 있으시면 말씀해주세요. 특별한 선호가 없으시면 "상관없음"을 선택하시거나, 바로 "지금 조건으로 추천보기"를 눌러주셔도 됩니다.
  [선택지: 3날 (177개) | 4날 (49개) | 2날 (49개) | 상관없음 | ⟵ 이전 단계 …]
👤 사용자: 3날 (177개)
🤖 AI assistant [응답 👍] [선택지 👍]: 공구 세부 타입이 중요한가요? Square (98개), Radius (79개), 상관없음 등이 있습니다.
  [선택지: Square (98개) | Radius (79개) | 상관없음 | ⟵ 이전 단계 | 📋 지금 바로 제품 보기 (177개) …]
👤 사용자: 3날 말고 2날로 변경
🤖 AI assistant [응답 👍] [선택지 👍]: 코팅 종류 선호가 있으신가요? 후보 중에 TiCN, X-Coating 등이 있습니다.
  [선택지: TiCN (29개) | X-Coating (20개) | 상관없음 | ⟵ 이전 단계 | 📋 지금 바로 제품 보기 (49개) …]
👤 사용자: 일단 공구 세부 타입을 Square 로
🤖 AI assistant [응답 👍] [선택지 👍]: 코팅 종류 선호가 있으신가요? 후보 중에 TiCN, X-Coating 등이 있습니다.
  [선택지: TiCN (29개) | X-Coating (20개) | 상관없음 | ⟵ 이전 단계 | 📋 지금 바로 제품 보기 (49개) …]</t>
  </si>
  <si>
    <t>🎯 의도: 알루미늄 밀링에 맞는 2날 Square 공구를 찾고 싶었음
✅ 정답 행동: 3날에서 2날로 변경한 사용자의 선택을 반영해 필터를 2날로 즉시 갱신해야 함. 이후 Square 세부 타입도 적용된 상태로 코팅 옵션을 안내하고, 현재 조건에 맞는 후보를 보여주거나 다음 선택지를 제시해야 함.
⚠️ 당시 문제: 사용자의 “3날 말고 2날로 변경” 요청이 반영되지 않은 채 다음 질문이 진행됨
💬 코멘트 분석: 코멘트 없음</t>
  </si>
  <si>
    <t>최종 평가: 👍 / 응답: 👍5 총 5개 응답 / 선택지: 👍5</t>
  </si>
  <si>
    <t>tf-evt-mn8bescn-qzowzpbz</t>
  </si>
  <si>
    <t>RLH-0044</t>
  </si>
  <si>
    <t>알루미늄 6mm 사이드밀링 2날 TiAlN 제품 추천 요청</t>
  </si>
  <si>
    <t>🧭 초기 조건: 문의 목적=신규 제품 추천 / 피삭재 (소재)=알루미늄 / 가공 형상=Side_Milling / 가공 방식=Milling / 공구 직경=6mm
🤖 AI assistant [응답 👍] [선택지 👍]: 알루미늄 소재 6mm 엔드밀 측면가공용으로 405개 제품이 있습니다. 알루미늄 세부 소재를 선택해주세요 — 연질/단조합금/주조합금/일반합금 중 어떤 것인가요?
  [선택지: 알루미늄 | 알루미늄 (연질) | 알루미늄 단조 합금 | 알루미늄 주조 합금 | 알루미늄 합금 …]
👤 사용자: 익산 공장 정보줘
🤖 AI assistant [응답 👍] [선택지 👍]: 익산 공장은 YG-1에 존재하지 않습니다. 국내 공장은 인천본공장(032-500-4400), 부평, 서운, 광주, 충주 5곳만 운영 중입니다.
알루미늄 6mm 사이드밀링용 제품 추천을 이어가겠습니다. 코팅 종류 선호가 있으신가요? 후보 중에 DLC(고경도), X-Coating(범용), TiAlN(내열) 등이 있습니다.
  [선택지: Bright Finish (180개) | X-Coating (30개) | TiAlN (15개) | DLC (13개) | 상관없음 …]
👤 사용자: 제주 공장은 ?
🤖 AI assistant [응답 👍] [선택지 👎]: 사용자가 "제주 공장은?"이라고 물어보셨는데, 이는 이전에 입력했던 "익산 공장 정보줘"와 유사한 맥락으로 보입니다.
현재 상황:
- 적용된 필터에 `workPieceName=익산 공장 정보줘`가 있음
- 사용자가 이번에는 "제주 공장"에 대해 질문
이것은 공구 추천 시스템의 맥락에서 벗어난 질문입니다. YG-1의 공장 위치나 시설에 대한 정보 요청으로 보입니다.
직접 답변 제공:
YG-1(와이지원)은 대한민국의 절삭공구 전문 제조업체입니다. 
**제주 공장**에 대해서는 제가 확인할 수 있는 공개된 정보에서 YG-1이 제주도에 생산 공장을 운영하고 있다는 정보를 찾기 어렵습니다.
YG-1의 주요 생산 거점은:
- **국내**: 전북 익산 (본사 공장)
- **해외**: 중국, 독일, 미국 등에 생산 및 유통 거점
제주도에 YG-1 공장이 있는지, 또는 다른 특정 정보를 원하시는 것인지 구체적으로 말씀해 주시면 더 정확한 안내를 드릴 수 있습니다.
혹시 **절삭공구 추천**을 원하시는 경우, 가공하실 소재나 작업 내용을 알려주시면 적합한 제품을 찾아드리겠습니다!
[Reference: AI 지식 추론 + 공개 정보]
  [선택지: Bright Finish | DLC | X-Coating | TiAlN | TiCN …]
👤 사용자: TiAlN
🤖 AI assistant [응답 👍] [선택지 👍]: TiAlN 코팅은 이미 적용되어 15개로 좁혀졌습니다.
날 수(flute) 선호가 있으신가요? 2날은 칩 배출이 좋고, 4날은 면조도가 우수합니다.
  [선택지: 4날 (10개) | 2날 (5개) | 상관없음 | ⟵ 이전 단계]
👤 사용자: 2날 (5개)
🤖 AI assistant [응답 👍] [선택지 👍]: 알루미늄 측면 가공용으로 **TANK-POWER GAA29060**을 추천드립니다.
**추천 근거:**
• 요청하신 6mm 직경, 2날, TiAlN 코팅 조건과 100% 일치합니다 (매칭률 93점)
• 알루미늄(N군) 가공에 최적화된 TANK-POWER 시리즈로 측면가공/슬로팅에 적합합니다
• 2날 구조로 칩 배출이 원활하여 알루미늄 가공 시 절삭성이 우수합니다
**주의사항:**
재고 및 납기 정보는 확인이 필요합니다. 본사(032-526-0909) 또는 온라인 주문(oos.yg1.solutions)에서 확인 가능합니다.
**대안 제품:**
직경 변경이 가능하다면 GAA29070(7mm) 또는 GAA29050(5mm)도 동일한 성능으로 사용 가능합니다.
📋 **Reference:** YG-1 내부 DB (카탈로그 스펙 데이터)
  [선택지: 대체 후보 4개 비교하기 | 절삭조건 알려줘 | 왜 이 제품을 추천했나요? | 다른 코팅 옵션 보기]</t>
  </si>
  <si>
    <t>🎯 의도: 알루미늄 6mm 사이드밀링용 절삭공구 추천을 원함
✅ 정답 행동: 알루미늄 세부 소재와 가공조건(코팅, 날수)을 순차적으로 확인해 적합한 6mm 제품을 추천해야 함. 사용자가 공장 정보를 묻는 질문은 추천 흐름과 무관하므로 간단히 안내하거나 다른 도움을 제안해야 함.
⚠️ 당시 문제: 특이사항 없음
💬 코멘트 분석: 추천 흐름과 응답은 전반적으로 만족, 선택지 1개만 부적절함</t>
  </si>
  <si>
    <t>최종 평가: 👍 / 응답: 👍5 총 5개 응답 / 선택지: 👍4 👎1</t>
  </si>
  <si>
    <t>tf-evt-mn4tf877-agluxdn9</t>
  </si>
  <si>
    <t>RLH-0045</t>
  </si>
  <si>
    <t>알루미늄 φ10 Side Milling용 3날 공구 추천</t>
  </si>
  <si>
    <t>🧭 초기 조건: 문의 목적=신규 제품 추천 / 피삭재 (소재)=알루미늄 / 가공 형상=Side_Milling / 가공 방식=Milling / 공구 직경=10mm
🤖 AI assistant [응답 👍] [선택지 👍]: 알루미늄 소재, 10mm 직경으로 Side Milling 작업이시군요. 현재 424개 제품이 매칭됩니다.
알루미늄 중에서도 **연질 알루미늄**인가요, 아니면 **주조 합금**이나 **단조 합금** 같은 특정 종류인가요? 소재 특성에 따라 최적 제품이 달라집니다.
  [선택지: 알루미늄 | 알루미늄 (연질) | 알루미늄 단조 합금 | 알루미늄 주조 합금 | 알루미늄 합금 …]
👤 사용자: 알루미늄
🤖 AI assistant [응답 👍] [선택지 👍]: 네, 알루미늄 가공용으로 좁혀드릴게요.
공구 끝 형상이 중요한가요?
- **Square (평날)**: 34개 - 측면/바닥 모서리 가공
- **Radius (라운드)**: 32개 - 곡면/모서리 강도 필요 시
어떤 형상을 선호하시나요?
  [선택지: Square (34개) | Radius (32개) | 상관없음 | ⟵ 이전 단계]
👤 사용자: Square (34개)
🤖 AI assistant [응답 👍] [선택지 👍]: 네, Square 엔드밀로 좁혔습니다. 현재 34개 후보 중 상위 10개를 보여드렸어요.
날 수 선호가 있으신가요? (2날/3날/4날 등)
  [선택지: 3날 (24개) | 4날 (5개) | 2날 (5개) | 상관없음 | ⟵ 이전 단계]
👤 사용자: 날수는 어떤 경우에 달라지나요?
🤖 AI assistant [응답 👍] [선택지 👍]: 날수(날개 수, Flute Count)는 엔드밀의 절삭 날 개수를 의미하며, 가공 상황에 따라 다르게 선택됩니다:
## 날수 선택 기준
**2날 (2 Flute)**
- **용도**: 알루미늄, 비철금속, 연질 재료
- **특징**: 칩 배출 공간이 넓어 칩이 많이 발생하는 재료에 유리
- **장점**: 절삭 속도 향상, 칩 막힘 방지
- **단점**: 강성이 상대적으로 낮음
**3날 (3 Flute)**
- **용도**: 알루미늄 범용 가공, 균형잡힌 선택
- **특징**: 2날과 4날의 중간 특성
- **장점**: 적절한 칩 배출 + 적절한 강성 및 표면조도
- **단점**: 특화된 장점은 다소 약함
**4날 (4 Flute)**
- **용도**: 철강, 스테인레스강, 경질 재료
- **특징**: 강성이 높고 표면조도가 우수
- **장점**: 안정적인 가공, 공구 수명 향상, 좋은 표면 품질
- **단점**: 칩 배출 공간이 좁아 연질 재료에는 부적합
**5날 이상**
- **용도**: 경화강, 정밀 가공, 고속 가공
- **특징**: 매우 높은 강성과 최상의 표면조도
- **장점**: 진동 감소, 정밀도 향상
- **단점**: 칩 배출이 어려움
## 현재 상황
알루미늄 가공용 Square 엔드밀을 찾고 계시므로, **3날(24개 제품)** 또는 **2날(5개 제품)**이 적합합니다. 4날은 알루미늄에서는 칩 막힘 위험이 있어 일반적으로 권장되지 않습니다.
어떤 날수로 진행하시겠습니까?
[Reference: YG-1 내부 DB + 절삭공구 일반 지식]
  [선택지: 3날 | 4날 | 2날 | 상관없음]
👤 사용자: 3날
🤖 AI assistant [응답 👍] [선택지 👍]: **브랜드명:** ALU-CUT for Korean Market | **제품코드:** GEE8310055
알루미늄 측면가공용으로 **ALU-CUT E5E83 GEE8310055**를 추천드립니다.
**추천 근거:**
1. 요청하신 φ10mm 3날 스펙과 정확히 일치합니다
2. 알루미늄 전용 시리즈(E5E83)로 칩 배출 최적화 설계
3. Bright Finish 코팅으로 알루미�ム 가공 시 용착 방지
**동일 스펙 대안:**
- **E5E83 시리즈** (GEE8310045/035, E5E8310055/045/035): 날 길이만 다른 동일 시리즈
- **E5D74 시리즈** (GED74100, E5D74100): 범용성 높은 표준형
※ 재고/납기 정보는 확인되지 않았습니다. 주문 전 032-526-0909로 재고 문의 권장합니다.
📋 **Reference:** YG-1 내부 DB (카탈로그 스펙 데이터)
  [선택지: 대체 후보 4개 비교하기 | 절삭조건 알려줘 | 왜 이 제품을 추천했나요? | 다른 코팅 옵션 보기]</t>
  </si>
  <si>
    <t>🎯 의도: 알루미늄 Side Milling에 맞는 φ10mm 공구 추천
✅ 정답 행동: 알루미늄 조건에 맞춰 Square 형상, 3날 φ10mm 후보를 정확히 좁히고 최종 추천 제품과 대안까지 제시했어야 한다. 필요 시 알루미늄 전용 코팅/날길이 차이도 함께 안내해야 한다.
⚠️ 당시 문제: 특이사항 없음
💬 코멘트 분석: 최종 평가와 응답/선택지 모두 만족했다는 긍정 피드백</t>
  </si>
  <si>
    <t>tf-evt-mn4tmt3l-a4uy7ec7</t>
  </si>
  <si>
    <t>RLH-0046</t>
  </si>
  <si>
    <t>티타늄 10mm 슬로팅용 4날 Y-Coating 공구 추천</t>
  </si>
  <si>
    <t>🧭 초기 조건: 문의 목적=신규 제품 추천 / 피삭재 (소재)=티타늄 / 가공 형상=Slotting / 가공 방식=Milling / 공구 직경=10mm
🤖 AI assistant [응답 👍] [선택지 👍]: 티타늄 소재를 10mm 엔드밀로 슬로팅 가공하시는군요. 현재 353개 제품이 매칭됩니다.
티타늄의 세부 종류를 알려주시면 더 정확한 추천이 가능합니다. 순수 티타늄인가요, 아니면 Ti-6Al-4V 같은 티타늄 합금인가요?
  [선택지: 내열합금 | 니켈 기반 내열합금 | 인코넬 | 철 기반 내열합금 | 코발트 기반 내열합금 …]
👤 사용자: 상관없음
🤖 AI assistant [응답 👎] [선택지 👎]: 코팅은 어떤 걸 선호하시나요? (Y-Coating, TiAlN, 무코팅 등)
  [선택지: 4날 (200개) | 6날 (51개) | 3날 (41개) | 5날 (32개) | 상관없음 …]
👤 사용자: 4날 (200개)
🤖 AI assistant [응답 👍] [선택지 👍]: 4날로 200개까지 좁혔습니다.
티타늄 슬로팅은 절삭 부하가 크기 때문에 **코팅 관련해서 말씀해주세요이 공구 수명에 직결**됩니다.
현재 후보 중 Y-Coating(범용 고경도), K2(고온 안정성), TiAlN(저마찰) 등이 있는데, **어떤 코팅을 선호하시나요?**
특별한 선호가 없으시면 Y-Coating(티타늄 가공 검증된 범용)으로 추천드리겠습니다.
  [선택지: Y-Coating (71개) | TiAlN (57개) | AlTiN (33개) | T-Coating (31개) | 상관없음 …]
👤 사용자: Y-Coating (71개)
🤖 AI assistant [응답 👍] [선택지 👍]: 티타늄 슬로팅 가공용으로 **V7 PLUS GMG55100**을 추천드립니다.
**추천 근거:**
1. **티타늄(S군) 전용 설계** - 제품 스펙에 S(티타늄) 소재 태그가 명시되어 있어 난삭재 가공에 최적화되어 있습니다
2. **슬로팅 전용 형상** - 4날 구성으로 칩 배출이 원활하며, 측면 절삭 시 강성이 우수합니다
3. **Y-Coating 적용** - 고온 환경에서 공구 수명 연장 효과가 있어 티타늄 가공에 유리합니다
4. **즉시 출고 가능** - 재고 보유 중입니다
**대안 제품:**
- **GMG40 시리즈** (GMG40100, GMG40906 등) - M/P/S 소재 범용성이 높으나, 티타늄에는 GMG55가 전용 설계되어 있어 더 유리합니다
- **GMF63 시리즈** (GMF63100, GMF63926 등) - GMG55와 동일한 V7 PLUS 라인이지만, 슬로팅보다는 일반 밀링에 최적화된 형상입니다
**주의사항:**
- 절삭조건(Vc, fz 등) 정보가 현재 데이터에 없습니다. 티타늄 가공 시 일반적으로 낮은 절삭속도(30-50 m/min)와 충분한 절삭유 공급이 필요하므로, 구체적인 조건은 YG-1 기술지원팀(032-526-0909)에 문의하시길 권장합니다
- 납기 정보는 확인되지 않았습니다
📋 **Reference:**
- YG-1 내부 DB (카탈로그 스펙, 재고 정보)
- 절삭조건: 정보 없음 (카탈로그 확인 필요)
  [선택지: 대체 후보 4개 비교하기 | 절삭조건 알려줘 | 왜 이 제품을 추천했나요? | 다른 코팅 옵션 보기]</t>
  </si>
  <si>
    <t>🎯 의도: 티타늄 소재 10mm 슬로팅용 신규 제품 추천
✅ 정답 행동: 티타늄/슬로팅/10mm/4날/Y-Coating 조건에 맞는 공구를 정확히 추천하고, 해당 제품이 티타늄 가공에 적합한 이유를 간단히 설명했어야 함. 필요 시 절삭조건이나 대안 후보를 이어서 제안해야 함.
⚠️ 당시 문제: 특이사항 없음
💬 코멘트 분석: 최종 평가는 전반적으로 만족, 선택지 1개만 다소 아쉬움</t>
  </si>
  <si>
    <t>최종 평가: 👍 / 응답: 👍3 👎1 총 4개 응답 / 선택지: 👍3 👎1</t>
  </si>
  <si>
    <t>tf-evt-mn4vge40-afupxehz</t>
  </si>
  <si>
    <t>RLH-0047</t>
  </si>
  <si>
    <t>티타늄 슬롯팅용 10mm 4날 Y-Coating 추천 요청</t>
  </si>
  <si>
    <t>🧭 초기 조건: 문의 목적=신규 제품 추천 / 피삭재 (소재)=티타늄 / 가공 형상=Slotting / 가공 방식=Milling / 공구 직경=10mm
🤖 AI assistant [응답 👍] [선택지 👍]: 티타늄 소재, 슬로팅 가공, φ10mm 조건으로 353개 제품이 매칭됩니다. 티타늄 중에서도 세부 소재를 선택해주시면 더 정확한 추천이 가능합니다. 어떤 소재인가요?
[내열합금 | 니켈 기반 내열합금 | 인코넬 | 철 기반 내열합금 | 코발트 기반 내열합금 | 티타늄 | 티타늄 합금 | 티타늄강 | 상관없음]
  [선택지: 내열합금 | 니켈 기반 내열합금 | 인코넬 | 철 기반 내열합금 | 코발트 기반 내열합금 …]
👤 사용자: 상관없음
🤖 AI assistant [응답 👍] [선택지 👎]: 알겠습니다. 코팅 선호는 있으신가요? (예: TiAlN, DLC, 무코팅 등)
  [선택지: 4날 (200개) | 6날 (51개) | 3날 (41개) | 5날 (32개) | 상관없음 …]
👤 사용자: 4날 (200개)
🤖 AI assistant [응답 👍] [선택지 👍]: 4날로 200개까지 좁혔습니다. 코팅 종류 선호가 있으신가요? 현재 후보 중에 Y-Coating(티타늄 특화), K2(범용 고경도), TiAlN(내열성) 등이 있습니다.
  [선택지: Y-Coating (71개) | TiAlN (57개) | AlTiN (33개) | T-Coating (31개) | 상관없음 …]
👤 사용자: Y-Coating (71개)
🤖 AI assistant [응답 👍] [선택지 👍]: 티타늄 슬롯팅 가공용으로 **V7 PLUS GMG55100**을 추천드립니다.
**추천 근거:**
1. **티타늄(S군) 전용 최적화** - GMG55 시리즈는 난삭재 가공에 특화된 4날 엔드밀로, Y-Coating이 티타늄 가공 시 공구 수명을 극대화합니다.
2. **슬롯팅 전용 설계** - 요청하신 10mm 직경, 4날 구성으로 측면 절입 시 진동을 최소화하며 칩 배출이 원활합니다.
3. **범용성** - H/K/M/P/S 소재군 전체 대응 가능하여 다품종 가공에도 활용할 수 있습니다.
**대안 제품:**
- **GMG40100** (TitaNox-Power): M/P/S 소재 전문. 티타늄만 집중 가공한다면 이쪽이 공구비 대비 효율적일 수 있습니다.
- **GMF63100** (V7 PLUS): GMG55와 동일 스펙이나 시리즈 차이. 재고 상황에 따라 선택 가능합니다.
**주의사항:**
- 절삭조건(Vc, fz) 데이터가 없어 초기 가공 시 보수적으로 시작 권장. 기술지원(032-526-0909) 문의 추천.
- 납기 정보 미확인. 긴급 시 재고 확인 필요.
📋 **Reference:**
- 제품 스펙: YG-1 내부 DB (카탈로그 데이터)
- 재고 정보: YG-1 내부 DB
- 절삭조건: 정보 없음 (기술지원 문의 필요)
  [선택지: 대체 후보 4개 비교하기 | 절삭조건 알려줘 | 왜 이 제품을 추천했나요? | 다른 코팅 옵션 보기]</t>
  </si>
  <si>
    <t>🎯 의도: 티타늄 슬롯팅 가공에 맞는 10mm 엔드밀 추천
✅ 정답 행동: 티타늄/슬롯팅/φ10/4날/Y-Coating 조건에 맞는 후보를 제시하고, 최종적으로 적합한 제품 1개를 추천해야 함. 필요 시 절삭조건이나 대체 후보를 함께 안내해 비교 가능하게 해야 함.
⚠️ 당시 문제: 특이사항 없음
💬 코멘트 분석: 코멘트 없음</t>
  </si>
  <si>
    <t>최종 평가: 👍 / 응답: 👍4 총 4개 응답 / 선택지: 👍3 👎1</t>
  </si>
  <si>
    <t>tf-evt-mn4vpsf9-qztyoyws</t>
  </si>
  <si>
    <t>RLH-0048</t>
  </si>
  <si>
    <t>티타늄 슬롯팅용 10mm 4날 Y-Coating 추천 후 시리즈 차이 문의</t>
  </si>
  <si>
    <t>🧭 초기 조건: 문의 목적=신규 제품 추천 / 피삭재 (소재)=티타늄 / 가공 형상=Slotting / 가공 방식=Milling / 공구 직경=10mm
🤖 AI assistant [응답 👍] [선택지 👍]: 티타늄 소재, 슬로팅 가공, φ10mm 조건으로 353개 제품이 매칭됩니다. 티타늄 중에서도 세부 소재를 선택해주시면 더 정확한 추천이 가능합니다. 어떤 소재인가요?
[내열합금 | 니켈 기반 내열합금 | 인코넬 | 철 기반 내열합금 | 코발트 기반 내열합금 | 티타늄 | 티타늄 합금 | 티타늄강 | 상관없음]
  [선택지: 내열합금 | 니켈 기반 내열합금 | 인코넬 | 철 기반 내열합금 | 코발트 기반 내열합금 …]
👤 사용자: 상관없음
🤖 AI assistant [응답 👍] [선택지 👎]: 알겠습니다. 코팅 선호는 있으신가요? (예: TiAlN, DLC, 무코팅 등)
  [선택지: 4날 (200개) | 6날 (51개) | 3날 (41개) | 5날 (32개) | 상관없음 …]
👤 사용자: 4날 (200개)
🤖 AI assistant [응답 👍] [선택지 👍]: 4날로 200개까지 좁혔습니다. 코팅 종류 선호가 있으신가요? 현재 후보 중에 Y-Coating(티타늄 특화), K2(범용 고경도), TiAlN(내열성) 등이 있습니다.
  [선택지: Y-Coating (71개) | TiAlN (57개) | AlTiN (33개) | T-Coating (31개) | 상관없음 …]
👤 사용자: Y-Coating (71개)
🤖 AI assistant [응답 👍] [선택지 👍]: 티타늄 슬롯팅 가공용으로 **V7 PLUS GMG55100**을 추천드립니다.
**추천 근거:**
1. **티타늄(S군) 전용 최적화** - GMG55 시리즈는 난삭재 가공에 특화된 4날 엔드밀로, Y-Coating이 티타늄 가공 시 공구 수명을 극대화합니다.
2. **슬롯팅 전용 설계** - 요청하신 10mm 직경, 4날 구성으로 측면 절입 시 진동을 최소화하며 칩 배출이 원활합니다.
3. **범용성** - H/K/M/P/S 소재군 전체 대응 가능하여 다품종 가공에도 활용할 수 있습니다.
**대안 제품:**
- **GMG40100** (TitaNox-Power): M/P/S 소재 전문. 티타늄만 집중 가공한다면 이쪽이 공구비 대비 효율적일 수 있습니다.
- **GMF63100** (V7 PLUS): GMG55와 동일 스펙이나 시리즈 차이. 재고 상황에 따라 선택 가능합니다.
**주의사항:**
- 절삭조건(Vc, fz) 데이터가 없어 초기 가공 시 보수적으로 시작 권장. 기술지원(032-526-0909) 문의 추천.
- 납기 정보 미확인. 긴급 시 재고 확인 필요.
📋 **Reference:**
- 제품 스펙: YG-1 내부 DB (카탈로그 데이터)
- 재고 정보: YG-1 내부 DB
- 절삭조건: 정보 없음 (기술지원 문의 필요)
  [선택지: 대체 후보 4개 비교하기 | 절삭조건 알려줘 | 왜 이 제품을 추천했나요? | 다른 코팅 옵션 보기]
👤 사용자: GMG55 시리즈와 GMG40 시리즈의 차이점?
🤖 AI assistant [응답 👍] [선택지 👍]: GMG55와 GMG40의 가장 큰 차이는 형상으로, GMG55는 Ball 엔드밀이고 GMG40은 Corner Radius 엔드밀입니다. GMG55는 V7 PLUS 브랜드의 볼 형상으로 측면 가공, 프로파일링, 소형 부품 가공에 적합하며 직경 φ3~25mm로 소경부터 제공되고, GMG40은 TITANOX-POWER 브랜드의 코너 R 형상으로 측면 가공, 슬롯팅, 금형 가공, 페이싱까지 다양한 작업이 가능하며 직경은 φ6~25mm부터 시작합니다. 두 제품 모두 4날, 다중 헬릭스 설계로 진동을 억제하지만, GMG40은 Double Core 구조로 강성과 칩 배출이
GMG55 vs GMG40 시리즈를 내부 DB 기준으로 비교했습니다.
| 항목 | GMG55 | GMG40 |
| --- | --- | --- |
| 브랜드 | V7 PLUS | TITANOX-POWER |
| 설명 | V7 PLUS 4 Flute&lt;br/&gt;Multiple Helix Regular&lt;br/&gt;Ball End mill | TitaNox-Power 4 Flute&lt;br/&gt;Multiple Helix Double Core&lt;br/&gt;Corner Radius End mill |
| 주요 feature | ▶ Special flute geometry and multiple helix eliminate vibrations&lt;br/&gt;&lt;br/&gt;▶ Excellent performance for Stainless Steels, Mild Steels, Cast Iron, Low/Medium hardness materials under HRc40 | ▶ Double Core E/M has a Unique Flute Design for excellent chip evacuation and higher rigidity&lt;br/&gt;&lt;br/&gt;▶ The double core adds stability and aids chip flow, reducing tool deflection, improving&lt;br/&gt;dimensional stability and workpiece accuracy |
| 공구 타입 | Solid | Solid |
| 형상 | Side_Milling,Profiling,Small_Part, NONE, Ball | Side_Milling,Slotting,Die-Sinking,Corner_Radius,Small_Part,Facing, NONE, Corner Radius |
| 날 수 | 4날 | 4날 |
| 코팅 | Y-Coating | Y-Coating |
| 공구 소재 | Carbide | Carbide |
| 직경 범위 | φ3~25mm | φ6~25mm |
| ISO | - | - |
| 피삭재 | Alloy Steels, Carbon Steels, Cast Iron, Hardened Steels(HRc40~45), Hardened Steels(HRc45~55) 외 4개 | Alloy Steels, Carbon Steels, Cast Iron, Inconel, Prehardened Steels 외 2개 |
| HRC | - | - |
[Reference: YG-1 내부 DB]
  [선택지: 다른 시리즈 비교 | 브랜드 비교 | 추천 제품 보기]</t>
  </si>
  <si>
    <t>🎯 의도: 티타늄 슬롯팅 조건에 맞는 공구를 찾고, GMG55와 GMG40 차이를 확인하려는 것
✅ 정답 행동: 티타늄/슬롯팅/φ10mm/4날/Y-Coating 조건에 맞는 최적 제품을 추천하고, GMG55와 GMG40는 형상·적용 가공·대상 소재·직경 범위를 표로 비교해 설명했어야 함. 추가로 사용자가 최종 선택할 수 있게 대안 1~2개와 차이 포인트를 명확히 제시해야 함.
⚠️ 당시 문제: 특이사항 없음
💬 코멘트 분석: 최종 평가가 높아 전반적으로 만족했으나, 한 응답의 선택지는 일부 부적절했던 것으로 보임</t>
  </si>
  <si>
    <t>tf-evt-mn4vr81k-mxj7bzbr</t>
  </si>
  <si>
    <t>RLH-0049</t>
  </si>
  <si>
    <t>일반강 10mm 슬로팅용 엔드밀 최종 추천 요청</t>
  </si>
  <si>
    <t>🧭 초기 조건: 문의 목적=신규 제품 추천 / 피삭재 (소재)=일반강 / 가공 형상=Slotting / 가공 방식=Milling / 공구 직경=10mm
🤖 AI assistant [응답 👍] [선택지 👍]: 일반강 소재에 10mm 엔드밀로 슬로팅 가공하시는군요. 현재 1,037개 제품이 매칭됩니다.
정확한 추천을 위해 세부 소재를 알려주세요. 고경도강, 공구강, 스테인리스강 400계 등 구체적인 재질이 있으신가요?
  [선택지: 고경도강 | 고탄소강 | 공구강 | 내열강 | 다이캐스팅 합금강/ 프리하든강 …]
👤 사용자: 상관없음
🤖 AI assistant [응답 👍] [선택지 👎]: 알겠습니다. 날 수(Flute) 선호는 있으신가요? 현재 후보에는 2날, 4날, 6날이 있습니다.
  [선택지: Y-Coating (252개) | Bright Finish (228개) | T-Coating (179개) | TiAlN (168개) | 상관없음 …]
👤 사용자: Y-Coating (252개)
🤖 AI assistant [응답 👍] [선택지 👍]: Y-Coating으로 252개 후보가 있습니다. 날 수(flute) 선호가 있으신가요? (예: 2날, 4날, 6날 등)
  [선택지: 4날 (142개) | 6날 (51개) | 5날 (26개) | 2날 (24개) | 상관없음 …]
👤 사용자: 4날 (142개)
🤖 AI assistant [응답 👍] [선택지 👍]: 일반강 슬로팅 가공용으로 **ONLY ONE GYG02100**을 추천드립니다.
**추천 근거:**
• 일반강(P군) 가공에 최적화된 Y-Coating 4날 엔드밀
• 요청하신 φ10mm 직경과 정확히 일치
• 슬로팅 가공에 특화된 형상 설계
**대안 제품:**
• **V7 PLUS GMG55100**: H/K/M/P/S 범용 소재 대응 가능 — 다양한 소재 작업 시 유리
• **TitaNox-Power GMG40100**: M/P/S 경화강 계열 특화 — 고경도 소재 가공 시 선택
• **V7 PLUS GMF63100**: GMG55와 동일 스펙, 형상 차이 확인 필요
**주의사항:**
재고 및 납기 정보는 확인이 필요합니다. 본사(032-526-0909) 또는 온라인 주문(oos.yg1.solutions)에서 실시간 확인 가능합니다.
📋 **Reference:** YG-1 내부 DB (카탈로그 스펙 데이터)
  [선택지: 대체 후보 4개 비교하기 | 절삭조건 알려줘 | 왜 이 제품을 추천했나요? | 다른 코팅 옵션 보기]</t>
  </si>
  <si>
    <t>🎯 의도: 일반강 10mm 슬로팅에 맞는 엔드밀 추천 받기
✅ 정답 행동: 일반강·φ10·슬로팅 조건에 맞는 제품을 1개 명확히 추천하고, 필요 시 대안 1~2개만 간단히 제시해야 함. 사용자가 상관없음으로 소재를 풀었으므로 코팅/날수 선택을 이어가되 최종적으로는 조건에 부합하는 단일 추천을 확정해야 함.
⚠️ 당시 문제: 특이사항 없음
💬 코멘트 분석: 추천 결과와 선택지 흐름이 전반적으로 적절했다는 긍정 평가임</t>
  </si>
  <si>
    <t>tf-evt-mn4w6elw-lm7xkeer</t>
  </si>
  <si>
    <t>RLH-0050</t>
  </si>
  <si>
    <t>알루미늄 연질 10mm 사이드밀링 공구 추천</t>
  </si>
  <si>
    <t>🧭 초기 조건: 문의 목적=신규 제품 추천 / 피삭재 (소재)=알루미늄 / 가공 형상=Side_Milling / 가공 방식=Milling / 공구 직경=10mm
🤖 AI assistant [응답 👍] [선택지 👍]: 알루미늄 소재 10mm 엔드밀로 측면 가공하시는군요. 현재 424개 제품이 매칭됩니다.
알루미늄 세부 소재를 알려주시겠어요? 연질인지, 주조 합금인지에 따라 날 구조가 달라집니다.
  [선택지: 알루미늄 | 알루미늄 (연질) | 알루미늄 단조 합금 | 알루미늄 주조 합금 | 알루미늄 합금 …]
👤 사용자: 알루미늄 주조 합금
🤖 AI assistant [응답 👍] [선택지 👍]: "알루미늄 주조 합금" 조건을 적용하면 후보가 없습니다. 현재 424개 후보에서 다른 조건을 선택해주세요.
  [선택지: 알루미늄 | 알루미늄 (연질) | 알루미늄 단조 합금 | 알루미늄 주조 합금 | 알루미늄 합금 …]
👤 사용자: 알루미늄(연질)
🤖 AI assistant [응답 👍] [선택지 👍]: 네, 알루미늄 연질 가공이시군요. 그럼 공구 끝 형상은 어떤 게 필요하신가요?
- **Square (평날)**: 모서리 각진 가공, 슬롯 등 (34개)
- **Radius (라운드)**: 모서리 R 가공, 공구 수명 연장 (32개)
- **상관없음**: 두 가지 다 보여드릴게요
  [선택지: Square (34개) | Radius (32개) | 상관없음 | ⟵ 이전 단계]
👤 사용자: Radius (32개)
🤖 AI assistant [응답 👍] [선택지 👍]: **브랜드명:** ALU-CUT for Korean Market | **제품코드:** GED7210030
알루미늄 사이드 밀링용으로 **ALU-CUT E5D72 시리즈 GED7210030**을 추천드립니다.
**추천 근거:**
1. **소재 최적화**: 알루미늄 전용 3날 설계로 칩 배출이 원활하고 표면조도가 우수합니다 (N군 완전 매칭)
2. **직경 정확**: 요청하신 φ10mm 그대로 적용 가능합니다
3. **검증된 절삭조건**: Vc=251m/min, fz=0.051mm로 안정적인 가공 데이터가 확보되어 있습니다 (신뢰도 90%)
**제품 구분:**
- GED 계열 (GED7210030, GED7210020 등): 날길이 차이 (30mm, 20mm...)
- E5D 계열 (E5D7210030, E5D7210020 등): GED와 동일 스펙, 형번 체계만 다름
**주의사항:**
- 재고 상태가 limited로 확인됩니다. 납기는 영업소(032-526-0909)에 확인 필요합니다
- 날길이에 따라 10개 모델이 있으니 가공 깊이에 맞춰 선택하세요 (5mm~30mm)
**절삭조건 (알루미늄 기준):**
- 절삭속도(Vc): 251 m/min
- 날당이송(fz): 0.051 mm
- 축방향절입(ap): 2mm (0.2D)
📋 **Reference:** YG-1 내부 DB (catalog_spec, cutting_condition, inventory)
  [선택지: 대체 후보 4개 비교하기 | 절삭조건 알려줘 | 왜 이 제품을 추천했나요? | 다른 코팅 옵션 보기]
👤 사용자: 날수로 좁힐래
🤖 AI assistant [응답 👍] [선택지 👍]: **브랜드명:** ALU-CUT for Korean Market | **제품코드:** GED7210030
알루미늄 사이드 밀링용으로 **ALU-CUT E5D72 GED7210030**을 추천드립니다.
**추천 근거:**
- 직경 10mm 정확 일치, 알루미늄 전용(N군) 제품
- 3날 라디우스 타입으로 사이드 밀링 최적화
- 절삭조건: Vc=251m/min, fz=0.051mm/t, ap=0.2D (신뢰도 90%)
**참고사항:**
- 현재 재고 limited 상태, 납기 정보는 본사(032-526-0909)에 확인 필요
- GED/E5D 차이는 코팅 두께 옵션이며, 동일 시리즈 대안 9개 있음(모두 동점)
📋 **Reference:** YG-1 내부 DB (카탈로그 스펙, 절삭조건 테이블)
  [선택지: 대체 후보 4개 비교하기 | 절삭조건 알려줘 | 왜 이 제품을 추천했나요? | 다른 코팅 옵션 보기]</t>
  </si>
  <si>
    <t>🎯 의도: 알루미늄 연질 10mm 사이드 밀링용 공구를 세부조건으로 좁혀 추천받기
✅ 정답 행동: 알루미늄(연질) + Radius + 날수 조건을 반영해 10mm 사이드 밀링용 후보를 좁혀 제시해야 함. 사용자가 "날수로 좁힐래"라고 했으므로 날수 기준 선택지를 다시 묻거나, 가능한 날수별 후보를 비교해 보여줘야 함.
⚠️ 당시 문제: 특이사항 없음
💬 코멘트 분석: 사용자는 전반적으로 추천 흐름과 선택지가 적절하다고 평가함</t>
  </si>
  <si>
    <t>tf-evt-mn50cn7p-rczor5cs</t>
  </si>
  <si>
    <t>RLH-0051</t>
  </si>
  <si>
    <t>영업소 정보 요청, 앞선 추천 흐름과 별개 문의</t>
  </si>
  <si>
    <t>🧭 초기 조건: 문의 목적=신규 제품 추천 / 피삭재 (소재)=스테인리스 / 가공 형상=Side_Milling / 가공 방식=Milling / 공구 직경=10mm
🤖 AI assistant [응답 👎] [선택지 👎]: 스테인리스 소재, 10mm 직경으로 사이드 밀링 가공하실 제품이 현재 300개 정도 있습니다.
스테인리스 중에서도 어떤 종류인가요? (일반 스테인리스강, 300계열, 400계열, PH강 등)
  [선택지: 스테인레스강 | 스테인레스강 300 | 스테인레스강 400 | 스테인레스강(PH) | 티타늄 …]
👤 사용자: 상관없음
🤖 AI assistant [응답 👎] [선택지 👎]: 코팅 종류 선호가 있으신가요? 후보 중에 X-Coating, TiAlN, Bright Finish 등이 있습니다.
  [선택지: Y-Coating (90개) | Bright Finish (79개) | X-Coating (47개) | AlTiN (35개) | 상관없음 …]
👤 사용자: X-코팅 제품으로 날장이 10mm 이상인 제품 추천해주세요
🤖 AI assistant [응답 👎] [선택지 👎]: X-코팅 제품으로 날장 10mm 이상 조건으로 47개 제품을 찾았습니다.
추천 상위 3개:
1. **GAE53100** (X-SPEED ROUGHER) - 황삭 가공에 최적화, 빠른 재료 제거
2. **GAD52100** (TANK-POWER) - 범용 가공, 안정적인 절삭
3. **GAC25100N** (TANK-POWER) - 정밀 가공 및 마무리에 적합
스테인리스 가공 목적이 황삭인가요, 정삭인가요? 그에 따라 최적 제품을 좁혀드리겠습니다.
  [선택지: Roughing (24개) | Square (15개) | Drill Mill (8개) | 상관없음 | ⟵ 이전 단계]
👤 사용자: 정삭이요
🤖 AI assistant [응답 👎] [선택지 👎]: **스테인리스 측면 가공용으로 TANK-POWER GAC25100N을 추천드립니다.**
**추천 근거:**
- 직경 10mm 정확 일치 + X-Coating으로 스테인리스(M군) 가공에 최적화
- 4날 스퀘어 엔드밀로 측면 가공(Side Milling) 및 슬로팅 작업 모두 가능
- 현재 재고 보유 중으로 즉시 출고 가능
**대안 비교:**
- **GAC25100AN**: GAC25100N과 동일 스펙, 넥 형상 차이만 있음 (작업 여유 공간 좁으면 고려)
- **GA932100N**: 같은 TANK-POWER 라인, 날당이송·절입깊이 조건 다를 수 있어 현장 테스트 권장
**주의사항:**
- 절삭조건(Vc, fz 등) 정보 없음 → 카탈로그 확인 또는 기술지원팀(032-526-0909) 문의 필요
- 납기 정보 미제공 (재고 있어도 확인 권장)
---
📋 **Reference:** 
- 제품 스펙·재고: YG-1 내부 DB 
- 절삭조건: 정보 없음 (카탈로그 확인 필요)
  [선택지: 대체 후보 4개 비교하기 | 절삭조건 알려줘 | 왜 이 제품을 추천했나요? | 다른 코팅 옵션 보기]
👤 사용자: 우리 영업소 정보좀 알려주세요
🤖 AI assistant [응답 👍] [선택지 👍]: YG-1의 국내 영업소는 다음 5곳입니다:
- **서울**: 02-2681-3456
- **대구**: 053-600-8909
- **천안**: 041-417-0985
- **부산**: 051-314-0985
- **창원**: 055-275-0985
더 자세한 정보가 필요하시면 본사(032-526-0909)에 문의해 주세요.
  [선택지: 대체 후보 4개 비교하기 | 절삭조건 알려줘 | 왜 이 제품을 추천했나요? | 다른 코팅 옵션 보기]</t>
  </si>
  <si>
    <t>🎯 의도: YG-1 국내 영업소 연락처를 알고 싶음
✅ 정답 행동: 국내 영업소 정보를 간단명료하게 제공하고, 필요 시 본사 문의나 추가 안내로 연결했어야 함. 제품 추천 맥락은 유지하되 이번 질문에는 영업소 정보만 정확히 답변하면 됨.
⚠️ 당시 문제: 특이사항 없음
💬 코멘트 분석: 코멘트 없음</t>
  </si>
  <si>
    <t>최종 평가: 👍 / 응답: 👍1 👎4 총 5개 응답 / 선택지: 👍1 👎4</t>
  </si>
  <si>
    <t>tf-evt-mn5an7rq-fu7taw6b</t>
  </si>
  <si>
    <t>RLH-0052</t>
  </si>
  <si>
    <t>티타늄 슬롯팅용 적절한 형상 문의</t>
  </si>
  <si>
    <t>🧭 초기 조건: 문의 목적=신규 제품 추천 / 피삭재 (소재)=티타늄 / 가공 형상=Slotting / 가공 방식=Milling
🤖 AI assistant [응답 👍] [선택지 👍]: 티타늄 소재를 슬로팅 가공하시는군요. 현재 2,465개 제품이 매칭됩니다.
티타늄 중에서도 **순티타늄(Grade 2)인지, 합금(Ti-6Al-4V 등)인지** 알려주시겠어요? 아니면 "상관없음"으로 진행할까요?
  [선택지: 내열합금 | 니켈 기반 내열합금 | 인코넬 | 철 기반 내열합금 | 코발트 기반 내열합금 …]
👤 사용자: 상관없음
🤖 AI assistant [응답 👍] [선택지 👍]: 현재 2465개 후보가 있습니다. 날 수(flute) 선호가 있으신가요?
  [선택지: 4날 (799개) | 2날 (656개) | 6날 (479개) | 5날 (319개) | 상관없음 …]
👤 사용자: 4날 (799개)
🤖 AI assistant [응답 👍] [선택지 👍]: 4날로 좁혔습니다. 코팅은 어떤 걸 선호하시나요? Y-Coating(범용), K2(고경도), TiAlN(내열) 중 선택하시거나 '상관없음'이라고 하셔도 됩니다.
  [선택지: Y-Coating (368개) | TiAlN (175개) | AlTiN (118개) | T-Coating (96개) | 상관없음 …]
👤 사용자: Y-Coating (368개)
🤖 AI assistant [응답 👎] [선택지 👎]: 티타늄 슬로팅 가공용으로 **V7 PLUS A UGMG54064**를 추천드립니다.
**추천 근거:**
- 티타늄(S군) 전용 설계로 소재 매칭 정확
- 4날 구성으로 슬로팅 가공 시 칩 배출 원활
- Y-Coating 적용으로 티타늄 가공 시 공구 수명 연장
**주의사항:**
- 직경 미지정 상태로 φ25.4mm 제품 우선 추천 (작업 직경 확인 필요)
- 동일 시리즈에서 φ76.2mm(UGMG54048), φ127mm(UGMG54040) 등 다양한 직경 옵션 있음
- 재고/납기 정보 없음 → 주문 전 본사(032-526-0909) 확인 필요
**대안:**
큰 직경이 필요하면 UGMG54048(φ76.2mm) 또는 UGMG54040(φ127mm)을 검토하세요. 동일 스펙에 직경만 다릅니다.
📋 **Reference:** YG-1 내부 DB (카탈로그 스펙 데이터)
  [선택지: 대체 후보 4개 비교하기 | 절삭조건 알려줘 | 왜 이 제품을 추천했나요? | 다른 코팅 옵션 보기]
👤 사용자: Slotting 하는데 적절한 공구 형상은 뭔가요?
🤖 AI assistant [응답 👍] [선택지 👍]: SLOTTING 제품 정보를 내부 DB에서 찾지 못했습니다.
현재 후보 제품의 제품코드로 다시 물어보시면 해당 제품 정보를 조회해드릴 수 있습니다.
[Reference: YG-1 내부 DB]
  [선택지: 후보 제품 보기 | 추천 제품 보기 | 처음부터 다시]</t>
  </si>
  <si>
    <t>🎯 의도: Slotting에 맞는 공구 형상을 확인하고 싶음
✅ 정답 행동: Slotting 가공에 적합한 공구 형상(예: 코너/날 형상, 센터컷 여부, 플루트 구조)을 설명하고, 현재 추천 제품의 형상이 Slotting에 적합한지 제품 스펙 기준으로 안내해야 함. 제품 정보를 못 찾았다면 “형상 기준”으로 일반 원칙을 먼저 제시하고, 제품코드/스펙 확인을 요청했어야 함.
⚠️ 당시 문제: 제품 정보를 못 찾았다는 답만 하고 형상 질문에 직접 답하지 못함
💬 코멘트 분석: Slotting에 적절한 공구 형상이 무엇인지 구체적으로 알고 싶다는 요구였음</t>
  </si>
  <si>
    <t>최종 평가: 👍 / 응답: 👍4 👎1 총 5개 응답 / 선택지: 👍4 👎1</t>
  </si>
  <si>
    <t>tf-evt-mn5ft8en-sdugcx6z</t>
  </si>
  <si>
    <t>RLH-0053</t>
  </si>
  <si>
    <t>티타늄 10mm 슬로팅용 4날 Y-Coating 추천</t>
  </si>
  <si>
    <t>🧭 초기 조건: 문의 목적=신규 제품 추천 / 피삭재 (소재)=티타늄 / 가공 형상=Slotting / 가공 방식=Milling / 공구 직경=10mm
🤖 AI assistant [응답 👍] [선택지 👍]: 티타늄 소재 10mm 슬로팅 가공이시군요. 현재 353개 제품이 매칭됩니다.
티타늄 중에서도 **순티타늄인지, 티타늄 합금(Ti-6Al-4V 등)인지, 아니면 인코넬 같은 내열합금**인지 알려주시면 더 정확한 추천이 가능합니다.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
👤 사용자: 4날 (200개)
🤖 AI assistant [응답 👍] [선택지 👍]: 4날로 좁혔습니다. 코팅은 어떤 걸로 하시겠어요? Y-Coating(범용성 좋음), K2(내열성 강함), TiAlN(경제적) 중에 선호하시는 게 있으신가요?
  [선택지: Y-Coating (71개) | TiAlN (57개) | AlTiN (33개) | T-Coating (31개) | 상관없음 …]
👤 사용자: Y-Coating (71개)
🤖 AI assistant [응답 👍] [선택지 👍]: 티타늄 슬로팅 가공용으로 **V7 PLUS GMG55100**을 추천드립니다.
**추천 근거:**
1. **티타늄(S군) 전용 설계** - Y-Coating과 4날 구성으로 난삭재 가공에 최적화
2. **슬로팅 가공 특화** - 요청하신 가공 방식과 정확히 일치
3. **범용성** - H/K/M/P/S 전 소재군 대응 가능해 향후 다른 소재 가공 시에도 활용 가능
**대안 비교:**
- **GMG40100 (TitaNox-Power)**: M/P/S 소재 전용으로 티타늄에 더 특화된 옵션. 범용성은 낮지만 티타늄만 가공한다면 고려 가치 있음
- **GMF63100 (V7 PLUS)**: GMG55와 동일 시리즈지만 형상 차이. 슬로팅에는 GMG55가 더 적합
**주의사항:**
- 절삭조건(Vc, fz) 정보 없음 - 초기 가공 시 보수적인 조건에서 시작 권장
- 납기 정보 없음 - 급하시면 재고 확인 필요 (032-526-0909)
현재 재고 보유 중입니다.
📋 **Reference:** YG-1 내부 DB (카탈로그 스펙, 재고 데이터)
  [선택지: 대체 후보 4개 비교하기 | 절삭조건 알려줘 | 왜 이 제품을 추천했나요? | 다른 코팅 옵션 보기]</t>
  </si>
  <si>
    <t>🎯 의도: 티타늄 슬로팅용 10mm 엔드밀 신규 제품 추천
✅ 정답 행동: 사용자가 선택한 조건(티타늄/Slotting/Milling/10mm/4날/Y-Coating)을 반영해, 해당 조건에 가장 적합한 제품 1개와 근거를 제시해야 함. 필요 시 절삭조건이나 재고/대안 확인을 짧게 덧붙이면 됨.
⚠️ 당시 문제: 특이사항 없음
💬 코멘트 분석: 코멘트 없음</t>
  </si>
  <si>
    <t>tf-evt-mn5i2km1-gjf05ys2</t>
  </si>
  <si>
    <t>RLH-0054</t>
  </si>
  <si>
    <t>알루미늄합금 8mm 엔드밀, 2날 추천 확인</t>
  </si>
  <si>
    <t>🧭 초기 조건: 문의 목적=신규 제품 추천 / 피삭재 (소재)=알루미늄 / 가공 방식=Milling / 공구 직경=8mm
🤖 AI assistant [응답 👍] [선택지 👍]: 알루미늄 8mm 엔드밀이시군요. 현재 406개 제품이 매칭됩니다.
알루미늄 중에서도 구체적인 소재를 알려주시면 더 정확한 추천이 가능합니다. 어떤 소재인가요?
  [선택지: 비철금속 | 알루미늄 | 알루미늄 합금 | 상관없음]
👤 사용자: 알루미늄 합금
🤖 AI assistant [응답 👍] [선택지 👍]: 알루미늄 합금 밀링 가공용으로 **GENERAL HSS END MILLS CE7659908**을 추천드립니다.
**추천 근거:**
- 요청하신 φ8mm 직경과 정확히 일치합니다
- 4날 구조로 알루미늄 가공 시 칩 배출이 원활하며, X-Coating으로 내마모성이 우수합니다
- N군(비철금속) 소재 전용 설계로 알루미늄 합금 가공에 최적화되어 있습니다
- 현재 재고 보유 중으로 즉시 출고 가능합니다
**대안 옵션:**
만약 더 부드러운 표면조도가 필요하시면 **CE7406905**(2날, φ8mm)도 고려해볼 만합니다. 날 수가 적어 칩 공간이 넓어 고속 가공에 유리하지만, 4날 대비 공구 수명은 짧을 수 있습니다.
⚠️ **참고사항:**
- 절삭조건 데이터가 현재 확인되지 않아, 초기 가공 시 보수적인 조건(Vc 150-200m/min, fz 0.05-0.08mm/tooth)으로 시작 후 조정을 권장합니다
- 정확한 납기는 본사(032-526-0909)로 문의 부탁드립니다
📋 **Reference:** YG-1 내부 DB (카탈로그 데이터, 재고 정보)
  [선택지: 날수로 좁히기 (2날/4날) | 대체 후보 4개 비교하기 | 왜 이 제품을 추천했나요? | 절삭조건 알려줘 | 다른 코팅 옵션 보기 …]
👤 사용자: 날수로 좁히기 (2날/4날)
🤖 AI assistant [응답 👍] [선택지 👍]: 알루미늄 합금 가공용으로 **GENERAL HSS END MILLS CE7406905**를 추천드립니다.
**추천 근거:**
- 요청하신 φ8mm 직경과 정확히 일치합니다
- 2날 설계로 알루미늄 가공 시 칩 배출이 원활합니다
- X-Coating 처리로 비철금속(N군) 가공에 최적화되어 있습니다
**대안 제품:**
- **CE7406904** (φ7mm, 2날, X-Coating): 직경만 1mm 작고 나머지 스펙 동일
- **CE7406090** (φ9mm, 2날, TiCN): 직경 1mm 크고 TiCN 코팅 적용
**주의사항:**
- 재고 및 납기 정보는 본사(032-526-0909) 또는 온라인주문(oos.yg1.solutions)에서 확인하세요
- 절삭조건은 현재 데이터에 없으므로 카탈로그 참조가 필요합니다
📋 **Reference:** YG-1 내부 DB (카탈로그 스펙 데이터)
  [선택지: 코팅으로 좁히기 (X-Coating/TiCN) | 대체 후보 4개 비교하기 | 왜 이 제품을 추천했나요? | 절삭조건 알려줘 | 다른 직경 검색 …]
👤 사용자: 너가 2날 4날로 나누려고 했는데 지금 제품들 2날들이라는 말이지 ?
🤖 AI assistant [응답 👍] [선택지 👍]: 네, 맞습니다! 
"날수로 좁히기 (2날/4날)" 칩을 선택하셨을 때 제가 **2날 제품만** 필터링해서 보여드린 것입니다. 현재 표시된 5개 제품(CE7406905, CE7406904, CE7406090, CE7406903, CE7406100)은 모두 **2날(2F)** 엔드밀입니다.
4날 제품도 보시겠습니까? 아니면 2날 중에서 코팅(X-Coating/TiCN)으로 추가 선택하시겠습니까?
  [선택지: 쉽게 설명해줘 | 추천으로 골라줘 | 상관없음 | 제품 분류 기준(2날 vs 4날 구분) 설명해줘]
👤 사용자: 제품 분류 기준(2날 vs 4날 구분) 설명해줘
🤖 AI assistant [응답 👍] [선택지 👍]: 엔드밀의 **날수(Flute Count)**는 가공 특성에 따라 선택하는 중요한 기준입니다.
**2날 엔드밀:**
- 넓은 칩 배출 공간으로 알루미늄처럼 긴 칩이 나오는 소재에 유리합니다
- 높은 이송 속도 가능, 깊은 홈/슬롯 가공에 적합합니다
- 강성이 상대적으로 낮아 진동이 발생할 수 있습니다
**4날 엔드밀:**
- 강성이 높아 진동이 적고 면조도가 우수합니다
- 정밀 가공, 측면 가공, 황삭/정삭 겸용에 적합합니다
- 칩 배출 공간이 좁아 알루미늄 가공 시 칩 막힘 주의가 필요합니다
알루미늄 합금은 일반적으로 **2날**을 권장하지만, 정밀도가 중요하거나 얕은 깊이 가공이면 4날도 고려할 수 있습니다.
  [선택지: 쉽게 설명해줘 | 추천으로 골라줘 | 상관없음 | product_classification_criteria 설명해줘]
👤 사용자: 추천으로 골라줘
🤖 AI assistant [응답 👍] [선택지 👍]: **브랜드명:** GENERAL HSS END MILLS | **제품코드:** CE7406905
알루미늄 가공용으로 **CE7406 시리즈 CE7406905**를 추천드립니다.
**추천 근거:**
• 요청하신 8mm 직경과 정확히 일치합니다
• 2날 구조로 알루미늄 가공 시 칩 배출이 원활합니다
• X-Coating 적용으로 비철금속(N군) 가공에 최적화되어 있습니다
**대안 옵션:**
직경이 약간 다르지만 같은 시리즈에서 7mm(CE7406904, X-Coating) 또는 9mm(CE7406090, TiCN) 제품도 가능합니다. 7mm는 동일한 X-Coating으로 표면조도가 우수하고, 9mm는 TiCN 코팅으로 내마모성이 좋습니다.
**주의사항:**
재고 및 납기 정보는 확인이 필요합니다. 본사(032-526-0909)로 문의하시거나 온라인 주문 시스템(oos.yg1.solutions)에서 확인 가능합니다.
📋 **Reference:** YG-1 내부 DB (카탈로그 데이터)
  [선택지: 코팅으로 좁히기 (X-Coating/TiCN) | 대체 후보 4개 비교하기 | 왜 이 제품을 추천했나요? | 절삭조건 알려줘 | 다른 직경 검색 …]</t>
  </si>
  <si>
    <t>🎯 의도: 알루미늄 합금 밀링용 8mm 엔드밀을 2날/4날 기준으로 추천받기
✅ 정답 행동: 사용자는 2날/4날 분류 기준을 확인한 뒤, 알루미늄 합금에 맞는 최종 추천 제품을 골라달라고 요청했다. 이에 8mm 조건을 유지한 채 2날 제품 중에서 알루미늄 합금에 적합한 후보를 최종 추천하고, 2날이 선택된 이유를 짧게 덧붙였어야 한다.
⚠️ 당시 문제: 특이사항 없음
💬 코멘트 분석: 추천 제품이 2날인지 최종적으로 확인하고, 그 기준에 맞는 추천을 원함</t>
  </si>
  <si>
    <t>최종 평가: 👍 / 응답: 👍6 총 6개 응답 / 선택지: 👍6</t>
  </si>
  <si>
    <t>tf-evt-mn5ludkk-dr8mkf9s</t>
  </si>
  <si>
    <t>RLH-0055</t>
  </si>
  <si>
    <t>알루미늄 합금 8mm 4날로 추천 변경 요청</t>
  </si>
  <si>
    <t>🧭 초기 조건: 문의 목적=신규 제품 추천 / 피삭재 (소재)=알루미늄 / 가공 방식=Milling / 공구 직경=8mm
🤖 AI assistant [응답 👍] [선택지 👍]: 알루미늄 8mm 엔드밀이시군요. 현재 406개 제품이 매칭됩니다.
알루미늄 중에서도 구체적인 소재를 알려주시면 더 정확한 추천이 가능합니다. 어떤 소재인가요?
  [선택지: 비철금속 | 알루미늄 | 알루미늄 합금 | 상관없음]
👤 사용자: 알루미늄 합금
🤖 AI assistant [응답 👍] [선택지 👍]: 알루미늄 합금 밀링 가공용으로 **GENERAL HSS END MILLS CE7659908**을 추천드립니다.
**추천 근거:**
- 요청하신 φ8mm 직경과 정확히 일치합니다
- 4날 구조로 알루미늄 가공 시 칩 배출이 원활하며, X-Coating으로 내마모성이 우수합니다
- N군(비철금속) 소재 전용 설계로 알루미늄 합금 가공에 최적화되어 있습니다
- 현재 재고 보유 중으로 즉시 출고 가능합니다
**대안 옵션:**
만약 더 부드러운 표면조도가 필요하시면 **CE7406905**(2날, φ8mm)도 고려해볼 만합니다. 날 수가 적어 칩 공간이 넓어 고속 가공에 유리하지만, 4날 대비 공구 수명은 짧을 수 있습니다.
⚠️ **참고사항:**
- 절삭조건 데이터가 현재 확인되지 않아, 초기 가공 시 보수적인 조건(Vc 150-200m/min, fz 0.05-0.08mm/tooth)으로 시작 후 조정을 권장합니다
- 정확한 납기는 본사(032-526-0909)로 문의 부탁드립니다
📋 **Reference:** YG-1 내부 DB (카탈로그 데이터, 재고 정보)
  [선택지: 날수로 좁히기 (2날/4날) | 대체 후보 4개 비교하기 | 왜 이 제품을 추천했나요? | 절삭조건 알려줘 | 다른 코팅 옵션 보기 …]
👤 사용자: 날수로 좁히기 (2날/4날)
🤖 AI assistant [응답 👍] [선택지 👍]: 알루미늄 합금 가공용으로 **GENERAL HSS END MILLS CE7406905**를 추천드립니다.
**추천 근거:**
- 요청하신 φ8mm 직경과 정확히 일치합니다
- 2날 설계로 알루미늄 가공 시 칩 배출이 원활합니다
- X-Coating 처리로 비철금속(N군) 가공에 최적화되어 있습니다
**대안 제품:**
- **CE7406904** (φ7mm, 2날, X-Coating): 직경만 1mm 작고 나머지 스펙 동일
- **CE7406090** (φ9mm, 2날, TiCN): 직경 1mm 크고 TiCN 코팅 적용
**주의사항:**
- 재고 및 납기 정보는 본사(032-526-0909) 또는 온라인주문(oos.yg1.solutions)에서 확인하세요
- 절삭조건은 현재 데이터에 없으므로 카탈로그 참조가 필요합니다
📋 **Reference:** YG-1 내부 DB (카탈로그 스펙 데이터)
  [선택지: 코팅으로 좁히기 (X-Coating/TiCN) | 대체 후보 4개 비교하기 | 왜 이 제품을 추천했나요? | 절삭조건 알려줘 | 다른 직경 검색 …]
👤 사용자: 너가 2날 4날로 나누려고 했는데 지금 제품들 2날들이라는 말이지 ?
🤖 AI assistant [응답 👍] [선택지 👍]: 네, 맞습니다! 
"날수로 좁히기 (2날/4날)" 칩을 선택하셨을 때 제가 **2날 제품만** 필터링해서 보여드린 것입니다. 현재 표시된 5개 제품(CE7406905, CE7406904, CE7406090, CE7406903, CE7406100)은 모두 **2날(2F)** 엔드밀입니다.
4날 제품도 보시겠습니까? 아니면 2날 중에서 코팅(X-Coating/TiCN)으로 추가 선택하시겠습니까?
  [선택지: 쉽게 설명해줘 | 추천으로 골라줘 | 상관없음 | 제품 분류 기준(2날 vs 4날 구분) 설명해줘]
👤 사용자: 제품 분류 기준(2날 vs 4날 구분) 설명해줘
🤖 AI assistant [응답 👍] [선택지 👍]: 엔드밀의 **날수(Flute Count)**는 가공 특성에 따라 선택하는 중요한 기준입니다.
**2날 엔드밀:**
- 넓은 칩 배출 공간으로 알루미늄처럼 긴 칩이 나오는 소재에 유리합니다
- 높은 이송 속도 가능, 깊은 홈/슬롯 가공에 적합합니다
- 강성이 상대적으로 낮아 진동이 발생할 수 있습니다
**4날 엔드밀:**
- 강성이 높아 진동이 적고 면조도가 우수합니다
- 정밀 가공, 측면 가공, 황삭/정삭 겸용에 적합합니다
- 칩 배출 공간이 좁아 알루미늄 가공 시 칩 막힘 주의가 필요합니다
알루미늄 합금은 일반적으로 **2날**을 권장하지만, 정밀도가 중요하거나 얕은 깊이 가공이면 4날도 고려할 수 있습니다.
  [선택지: 쉽게 설명해줘 | 추천으로 골라줘 | 상관없음 | product_classification_criteria 설명해줘]
👤 사용자: 추천으로 골라줘
🤖 AI assistant [응답 👍] [선택지 👍]: **브랜드명:** GENERAL HSS END MILLS | **제품코드:** CE7406905
알루미늄 가공용으로 **CE7406 시리즈 CE7406905**를 추천드립니다.
**추천 근거:**
• 요청하신 8mm 직경과 정확히 일치합니다
• 2날 구조로 알루미늄 가공 시 칩 배출이 원활합니다
• X-Coating 적용으로 비철금속(N군) 가공에 최적화되어 있습니다
**대안 옵션:**
직경이 약간 다르지만 같은 시리즈에서 7mm(CE7406904, X-Coating) 또는 9mm(CE7406090, TiCN) 제품도 가능합니다. 7mm는 동일한 X-Coating으로 표면조도가 우수하고, 9mm는 TiCN 코팅으로 내마모성이 좋습니다.
**주의사항:**
재고 및 납기 정보는 확인이 필요합니다. 본사(032-526-0909)로 문의하시거나 온라인 주문 시스템(oos.yg1.solutions)에서 확인 가능합니다.
📋 **Reference:** YG-1 내부 DB (카탈로그 데이터)
  [선택지: 코팅으로 좁히기 (X-Coating/TiCN) | 대체 후보 4개 비교하기 | 왜 이 제품을 추천했나요? | 절삭조건 알려줘 | 다른 직경 검색 …]
👤 사용자: 4날로 갑자기 변경하고 싶어짐
🤖 AI assistant [응답 👍]: 4날(4플루트)로 변경하여 알루미늄 합금 절삭용 추천 제품을 다시 검색하겠습니다.</t>
  </si>
  <si>
    <t>🎯 의도: 2날에서 4날로 바꿔 알루미늄 합금용 제품 재추천
✅ 정답 행동: 사용자의 변경 요청을 반영해 4날(4F) 조건으로 다시 필터링/검색 후, 8mm 알루미늄 합금용 후보를 제시해야 함. 이전 2날 추천은 구분해 두고, 4날 기준의 추천 근거와 대안도 함께 안내해야 함.
⚠️ 당시 문제: 특이사항 없음
💬 코멘트 분석: 코멘트 없음</t>
  </si>
  <si>
    <t>최종 평가: 👍 / 응답: 👍7 총 7개 응답 / 선택지: 👍6</t>
  </si>
  <si>
    <t>tf-evt-mn5lwb43-wziewmbq</t>
  </si>
  <si>
    <t>RLH-0056</t>
  </si>
  <si>
    <t>알루미늄 8mm 러핑 엔드밀 추천 진행</t>
  </si>
  <si>
    <t>🧭 초기 조건: 문의 목적=신규 제품 추천 / 피삭재 (소재)=알루미늄 / 가공 방식=Milling / 공구 직경=8mm
🤖 AI assistant [응답 👍] [선택지 👍]: 알루미늄 8mm 밀링 가공이시군요. 현재 406개 제품이 매칭됩니다.
어떤 날 형상이 필요하세요? Square(251개), Radius(75개), Roughing(28개), Drill Mill(12개) 중 선택해주시거나, 상관없으시면 말씀해주세요.
  [선택지: Square (251개) | Radius (75개) | Roughing (28개) | Drill Mill (12개) | 상관없음]
👤 사용자: Roughing (28개)
🤖 AI assistant [응답 👍] [선택지 👍]: 네, Roughing 엔드밀 28개 중에서 찾아드리겠습니다.
직경은 정확히 8mm로 하시겠습니까? 아니면 6mm, 7mm, 9mm, 10mm 중 다른 사이즈도 고려하시나요?
  [선택지: 6mm | 7mm | 8mm | 9mm | 10mm …]
👤 사용자: 8mm
🤖 AI assistant [응답 👍] [선택지 👍]: 직경 8mm 근처에 6, 7, 8, 9, 10mm가 있습니다. 정확한 직경을 선택해주세요.
  [선택지: 6mm | 7mm | 8mm | 9mm | 10mm …]
👤 사용자: 8mm
🤖 AI assistant [응답 👍] [선택지 👍]: 선택하신 소재는 ISO N (비철)군입니다. 세부 피삭재를 선택해주세요.
  [선택지: ABS | 구리 | 동합금 | 비철금속 | 아크릴 …]</t>
  </si>
  <si>
    <t>🎯 의도: 알루미늄용 8mm 러핑 엔드밀을 추천받고 싶었음
✅ 정답 행동: Roughing 선택 후에는 직경 8mm가 이미 확정됐으므로 같은 질문을 반복하지 말고 다음 필수 조건(세부 피삭재/공정 조건/날수 등)을 안내해야 함. 알루미늄이면 ISO N 계열로 분류해 적절한 세부 소재를 빠르게 좁혀 추천으로 이어가야 함.
⚠️ 당시 문제: 8mm를 두 번 반복 확인해 진행이 지연됨
💬 코멘트 분석: 반복 확인 없이 다음 조건으로 넘어가길 원함</t>
  </si>
  <si>
    <t>최종 평가: 👍 / 응답: 👍4 총 4개 응답 / 선택지: 👍4</t>
  </si>
  <si>
    <t>tf-evt-mn656k8r-fktfe3oc</t>
  </si>
  <si>
    <t>RLH-0057</t>
  </si>
  <si>
    <t>알루미늄 10mm 러핑 엔드밀 최종추천 요청</t>
  </si>
  <si>
    <t>🧭 초기 조건: 문의 목적=신규 제품 추천 / 피삭재 (소재)=알루미늄 / 가공 방식=Milling / 공구 직경=10mm
🤖 AI assistant [응답 👍] [선택지 👍]: 알루미늄 밀링용 φ10mm 엔드밀이시군요. 현재 424개 제품이 매칭됩니다.
날 형상을 선택해주세요. Square(252개), Radius(95개), Roughing(24개), Drill Mill(8개) 중 어떤 게 필요하신가요?
  [선택지: Square (252개) | Radius (95개) | Roughing (24개) | Drill Mill (8개) | 상관없음]
👤 사용자: Roughing (24개)
🤖 AI assistant [응답 👍] [선택지 👍]: 네, Roughing 엔드밀 24개 중에서 찾아드릴게요.
날 수는 어떤 걸 선호하세요? 3날은 칩 배출이 좋고, 4날은 마무리 품질이 더 좋습니다.
  [선택지: 3날 (13개) | 4날 (11개) | 상관없음 | ⟵ 이전 단계]
👤 사용자: 3날 (13개)
🤖 AI assistant [응답 👍] [선택지 👍]: 3날 제품 13개로 좁혔습니다.
직경은 8mm, 9mm, 10mm, 12mm 중 어떤 걸로 할까요?
  [선택지: 8mm | 9mm | 10mm | 12mm | ⟵ 이전 단계]
👤 사용자: 10mm
🤖 AI assistant [응답 👍] [선택지 👍]: 10mm 3날 러핑 엔드밀 중 알루미늄 계열 제품을 찾았습니다.
정확히 어떤 알루미늄인가요? 예를 들어 A6061 같은 합금재인지, A1070 같은 순알루미늄인지에 따라 최적 제품이 달라집니다.
  [선택지: ABS | 구리 | 동합금 | 비철금속 | 아크릴 …]</t>
  </si>
  <si>
    <t>🎯 의도: 알루미늄 밀링용 10mm 러핑 3날 엔드밀 추천
✅ 정답 행동: 소재가 알루미늄이므로 A6061/A1070 등 세부 합금 확인 후, 해당 재질에 맞는 10mm 3날 러핑 엔드밀 후보를 추천해야 함. 필요 시 절삭조건(가공 여부, 코팅, 길이)까지 이어서 확인.
⚠️ 당시 문제: 특이사항 없음
💬 코멘트 분석: 최종적으로 4/4 정상 진행으로 판단하며 추가 불만 없음</t>
  </si>
  <si>
    <t>tf-evt-mn6ht3df-ieq3yxpq</t>
  </si>
  <si>
    <t>RLH-0058</t>
  </si>
  <si>
    <t>알루미늄 8mm 사이드밀링용 공구 추천 진행 요청</t>
  </si>
  <si>
    <t>🧭 초기 조건: 문의 목적=신규 제품 추천 / 피삭재 (소재)=알루미늄 / 가공 형상=Side_Milling / 가공 방식=Milling / 공구 직경=8mm
🤖 AI assistant [응답 👍] [선택지 👍]: 알루미늄 8mm 사이드 밀링용 엔드밀이시군요. 현재 406개 제품이 매칭됩니다.
공구 형상이 중요하신가요? Square(251개), Radius(75개), Roughing(28개), Drill Mill(12개) 중에서 선호하시는 게 있으신가요?
  [선택지: Square (251개) | Radius (75개) | Roughing (28개) | Drill Mill (12개) | 상관없음]
👤 사용자: 이게 뭐야 추천해주고 그거로 진행해줘요
🤖 AI assistant [응답 👍] [선택지 👎]: 현재 406개 후보가 있습니다. 날 수(flute) 선호가 있으신가요?
  [선택지: 추천으로 골라줘 | 쉽게 설명해줘 | 3날 (193개)란? | 4날 (140개)란? | 상관없음]
👤 사용자: 3날 (193개)란?
🤖 AI assistant [응답 👍] [선택지 👍]: **3날 (3 flute)**은 엔드밀 절삭날이 3개인 제품을 의미합니다. 
알루미늄 가공에서 3날은 칩 배출 공간이 넓어 칩이 잘 빠지고, 절삭 속도를 높일 수 있어 생산성이 우수합니다. 4날보다 강성은 약간 낮지만, 알루미늄처럼 부드러운 소재에서는 칩 막힘 없이 빠른 가공이 가능해 많이 선호됩니다. 
현재 조건에서 3날 제품이 193개 있으며, 특별한 선호가 없으시면 "상관없음"을 선택하셔도 됩니다.
  [선택지: 쉽게 설명해줘 | 추천으로 골라줘 | 상관없음 | 3날이란? | 1날이란? …]
👤 사용자: 추천으로 골라줘
🤖 AI assistant [응답 👍] [선택지 👍]: 직경 8mm 근처에 6, 6.35, 6.5, 7, 7.5mm가 있습니다. 정확한 직경을 선택해주세요.
  [선택지: 추천으로 골라줘 | 6mm | 6.35mm | 6.5mm | 7mm …]
👤 사용자: 추천으로 골라줘
🤖 AI assistant [응답 👍] [선택지 👍]: 선택하신 소재는 ISO N (비철)군입니다. 세부 피삭재를 선택해주세요.
  [선택지: 추천으로 골라줘 | 상관없음 | 쉽게 설명해줘 | 알루미늄]</t>
  </si>
  <si>
    <t>🎯 의도: 조건에 맞는 엔드밀을 AI가 추천해 바로 진행
✅ 정답 행동: 사용자가 “추천으로 골라줘”라고 했으므로 추가 질문보다 조건에 맞는 후보 1개를 바로 추천하고 다음 단계 없이 진행했어야 함. 직경/날수/소재 기준으로 가장 적합한 알루미늄용 엔드밀을 제시하고 선택 이유를 짧게 설명해야 함.
⚠️ 당시 문제: 사용자의 추천 진행 요청에도 불필요하게 추가 조건을 반복 질문함
💬 코멘트 분석: 추천을 바로 확정해 달라는 요구였고, 반복 질문 없이 진행하길 원함</t>
  </si>
  <si>
    <t>tf-evt-mn6lsapv-tfl1br2i</t>
  </si>
  <si>
    <t>RLH-0059</t>
  </si>
  <si>
    <t>알루미늄 8mm 램핑용 3날 조건 정리</t>
  </si>
  <si>
    <t>🧭 초기 조건: 문의 목적=신규 제품 추천 / 피삭재 (소재)=알루미늄 / 가공 방식=Milling / 공구 직경=8mm
🤖 AI assistant [응답 👍] [선택지 👍]: 알루미늄 8mm 밀링용 엔드밀이시네요. 현재 4,656개 제품이 있습니다.
직경 8mm 근처에 8.00, 8.03, 7.95, 7.94, 7.938mm가 있는데, 정확히 어떤 직경이 필요하신가요?
  [선택지: 8mm | 8.03mm | 7.95mm | 7.94mm | 7.938mm]
👤 사용자: 8mm
🤖 AI assistant [응답 👍] [선택지 👍]: 공구 세부 타입이 중요한가요? Square (167개), Spiral Flute (94개), Radius (61개) 등이 있습니다.
  [선택지: Square (167개) | Spiral Flute (94개) | Radius (61개) | Gun Point (59개) | 상관없음 …]
👤 사용자: Square (167개)
🤖 AI assistant [응답 👍] [선택지 👍]: 네, Square 엔드밀 168개로 좁혔습니다.
날 수 선호가 있으신가요? 2날은 칩 배출에 유리하고, 3날은 마무리 품질이 좋습니다.
  [선택지: 2날 (71개) | 3날 (39개) | 4날 (39개) | 1날 (17개) | 상관없음 …]
👤 사용자: 램핑 가공할 때 어떤 가공 형상이 좋은가요
🤖 AI assistant [응답 👍] [선택지 👍]: 알루미늄 램핑이시면 **원형 램핑(나선 보간)**이 최적입니다. 절삭력이 3축에 분산되어 공구 수명이 길고, 램프 각도는 알루미늄 같은 비철재에 **3°~10°**가 권장됩니다. 나선 경로 직경은 절삭 직경의 **0.9~0.95배**(8mm 공구면 7.2~7.6mm)가 이상적입니다.
선형 램핑보다 칩 배출과 진동 면에서 훨씬 유리합니다.
📌 웹 검색 참고 (내부 DB 외부 정보)
다시 날 수로 돌아가실까요? 2날은 칩 배출에 강하고, 3날은 면조도가 좋습니다.
  [선택지: 쉽게 설명해줘 | 추천으로 골라줘 | 상관없음 | 3날이란? | 2날이란? …]
👤 사용자: 3날
🤖 AI assistant [응답 👍] [선택지 👍]: 3날 조건은 이미 적용되어 있습니다 (현재 39개). 알루미늄 세부 소재를 선택해주세요:
• 일반 알루미늄 (Al, ADC)
• 고경도 알루미늄 (7075, A7075)
• 주물 알루미늄 (AC4CH, AC8A)
어떤 소재인가요?
  [선택지: 비철금속 | 알루미늄 | 상관없음 | ⟵ 이전 단계]</t>
  </si>
  <si>
    <t>🎯 의도: 알루미늄 8mm 밀링 공구를 램핑 가공 조건에 맞게 추천받고 싶음
✅ 정답 행동: 3날 조건을 반영해 램핑에 적합한 가공 형상/조건을 이어서 안내하고, 알루미늄 세부 소재를 선택하도록 질문했어야 함. 사용자 질문이 형상 문의였으므로 간단히 원형 램핑(나선 보간) 권장 이유를 설명하는 것이 적절함.
⚠️ 당시 문제: 특이사항 없음
💬 코멘트 분석: 전체 흐름과 응답, 선택지 모두 적절하다고 평가함</t>
  </si>
  <si>
    <t>tf-evt-mn6szy6c-h4yqwovs</t>
  </si>
  <si>
    <t>RLH-0060</t>
  </si>
  <si>
    <t>알루미늄 8mm 밀링 공구를 좁혀 램핑 형상까지 확인</t>
  </si>
  <si>
    <t>🧭 초기 조건: 문의 목적=신규 제품 추천 / 피삭재 (소재)=알루미늄 / 가공 방식=Milling / 공구 직경=8mm
🤖 AI assistant [응답 👍] [선택지 👍]: 알루미늄 8mm 밀링용 엔드밀이시네요. 현재 4,656개 제품이 있습니다.
직경 8mm 근처에 8.00, 8.03, 7.95, 7.94, 7.938mm가 있는데, 정확히 어떤 직경이 필요하신가요?
  [선택지: 8mm | 8.03mm | 7.95mm | 7.94mm | 7.938mm]
👤 사용자: 8mm
🤖 AI assistant [응답 👍] [선택지 👍]: 공구 세부 타입이 중요한가요? Square (167개), Spiral Flute (94개), Radius (61개) 등이 있습니다.
  [선택지: Square (167개) | Spiral Flute (94개) | Radius (61개) | Gun Point (59개) | 상관없음 …]
👤 사용자: Square (167개)
🤖 AI assistant [응답 👍] [선택지 👍]: 네, Square 엔드밀 168개로 좁혔습니다.
날 수 선호가 있으신가요? 2날은 칩 배출에 유리하고, 3날은 마무리 품질이 좋습니다.
  [선택지: 2날 (71개) | 3날 (39개) | 4날 (39개) | 1날 (17개) | 상관없음 …]
👤 사용자: 램핑 가공할 때 어떤 가공 형상이 좋은가요
🤖 AI assistant [응답 👍] [선택지 👍]: 알루미늄 램핑이시면 **원형 램핑(나선 보간)**이 최적입니다. 절삭력이 3축에 분산되어 공구 수명이 길고, 램프 각도는 알루미늄 같은 비철재에 **3°~10°**가 권장됩니다. 나선 경로 직경은 절삭 직경의 **0.9~0.95배**(8mm 공구면 7.2~7.6mm)가 이상적입니다.
선형 램핑보다 칩 배출과 진동 면에서 훨씬 유리합니다.
📌 웹 검색 참고 (내부 DB 외부 정보)
다시 날 수로 돌아가실까요? 2날은 칩 배출에 강하고, 3날은 면조도가 좋습니다.
  [선택지: 쉽게 설명해줘 | 추천으로 골라줘 | 상관없음 | 3날이란? | 2날이란? …]
👤 사용자: 3날
🤖 AI assistant [응답 👍] [선택지 👍]: 3날 조건은 이미 적용되어 있습니다 (현재 39개). 알루미늄 세부 소재를 선택해주세요:
• 일반 알루미늄 (Al, ADC)
• 고경도 알루미늄 (7075, A7075)
• 주물 알루미늄 (AC4CH, AC8A)
어떤 소재인가요?
  [선택지: 비철금속 | 알루미늄 | 상관없음 | ⟵ 이전 단계]
👤 사용자: 알루미늄
🤖 AI assistant [응답 👍] [선택지 👍]: 선택하신 소재는 ISO N (비철)군입니다. 세부 피삭재를 선택해주세요.
  [선택지: 비철금속 | 알루미늄 | 상관없음 | ⟵ 이전 단계]</t>
  </si>
  <si>
    <t>🎯 의도: 알루미늄용 8mm 밀링 엔드밀 추천받기
✅ 정답 행동: 8mm, Square, 3날 조건을 유지한 채 알루미늄 세부 소재를 먼저 확정하고, 이후 램핑 가능 형상/추천 공구를 안내해야 함. 사용자가 램핑 형상을 물으면 일반 원칙을 짧게 설명하되 추천 검색 조건으로 되돌려 마무리해야 함.
⚠️ 당시 문제: 램핑 설명 후 다시 날수 선택으로 되돌린 흐름은 다소 비효율적이지만 큰 오류는 아님
💬 코멘트 분석: 최종 평가가 전반적으로 좋으므로, 사용자 요구는 단계별 탐색 자체는 수용 가능했고 큰 불만은 없음</t>
  </si>
  <si>
    <t>tf-evt-mn6t0cdd-js0089al</t>
  </si>
  <si>
    <t>RLH-0061</t>
  </si>
  <si>
    <t>알루미늄 8mm 밀링용 공구 추천을 좁힘</t>
  </si>
  <si>
    <t>🧭 초기 조건: 문의 목적=신규 제품 추천 / 피삭재 (소재)=알루미늄 / 가공 방식=Milling / 공구 직경=8mm
🤖 AI assistant [응답 👍] [선택지 👍]: 알루미늄 8mm 밀링용 엔드밀이시네요. 현재 4,656개 제품이 있습니다.
직경 8mm 근처에 8.00, 8.03, 7.95, 7.94, 7.938mm가 있는데, 정확히 어떤 직경이 필요하신가요?
  [선택지: 8mm | 8.03mm | 7.95mm | 7.94mm | 7.938mm]
👤 사용자: 8mm
🤖 AI assistant [응답 👍] [선택지 👍]: 공구 세부 타입이 중요한가요? Square (167개), Spiral Flute (94개), Radius (61개) 등이 있습니다.
  [선택지: Square (167개) | Spiral Flute (94개) | Radius (61개) | Gun Point (59개) | 상관없음 …]
👤 사용자: Square (167개)
🤖 AI assistant [응답 👍] [선택지 👍]: 네, Square 엔드밀 168개로 좁혔습니다.
날 수 선호가 있으신가요? 2날은 칩 배출에 유리하고, 3날은 마무리 품질이 좋습니다.
  [선택지: 2날 (71개) | 3날 (39개) | 4날 (39개) | 1날 (17개) | 상관없음 …]
👤 사용자: 램핑 가공할 때 어떤 가공 형상이 좋은가요
🤖 AI assistant [응답 👍] [선택지 👍]: 알루미늄 램핑이시면 **원형 램핑(나선 보간)**이 최적입니다. 절삭력이 3축에 분산되어 공구 수명이 길고, 램프 각도는 알루미늄 같은 비철재에 **3°~10°**가 권장됩니다. 나선 경로 직경은 절삭 직경의 **0.9~0.95배**(8mm 공구면 7.2~7.6mm)가 이상적입니다.
선형 램핑보다 칩 배출과 진동 면에서 훨씬 유리합니다.
📌 웹 검색 참고 (내부 DB 외부 정보)
다시 날 수로 돌아가실까요? 2날은 칩 배출에 강하고, 3날은 면조도가 좋습니다.
  [선택지: 쉽게 설명해줘 | 추천으로 골라줘 | 상관없음 | 3날이란? | 2날이란? …]
👤 사용자: 3날
🤖 AI assistant [응답 👍] [선택지 👍]: 3날 조건은 이미 적용되어 있습니다 (현재 39개). 알루미늄 세부 소재를 선택해주세요:
• 일반 알루미늄 (Al, ADC)
• 고경도 알루미늄 (7075, A7075)
• 주물 알루미늄 (AC4CH, AC8A)
어떤 소재인가요?
  [선택지: 비철금속 | 알루미늄 | 상관없음 | ⟵ 이전 단계]
👤 사용자: 알루미늄
🤖 AI assistant [응답 👍] [선택지 👍]: 선택하신 소재는 ISO N (비철)군입니다. 세부 피삭재를 선택해주세요.
  [선택지: 비철금속 | 알루미늄 | 상관없음 | ⟵ 이전 단계]
👤 사용자: 알루미늄
🤖 AI assistant [응답 👍] [선택지 👍]: 알루미늄(비철금속)에서 3날, 8mm 정사각형 엔드밀 조건으로 현재 39개 공구가 추천 중입니다. 상위 추천은 GEE8308050, GEE8308040, GEE8308030 등 E5E83 계열로 높은 적합도를 보입니다. 추가로 절삭 속도나 공구 코팅을 조정하시거나, 다른 규격으로 재검색하실 수 있습니다. 어느 쪽을 원하십니까?
  [선택지: 왜 이 제품을 추천했나요? | 절삭조건 알려줘 | 대체 후보 비교하기]</t>
  </si>
  <si>
    <t>🎯 의도: 알루미늄 8mm 밀링용 적합한 엔드밀을 추천받고 싶음
✅ 정답 행동: 8mm Square, 3날 조건이 이미 맞다면 해당 조건의 추천 후보를 정확히 제시하고, 필요 시 코팅/절삭조건/후보 비교로 이어서 안내해야 함.
⚠️ 당시 문제: 특이사항 없음
💬 코멘트 분석: 최종 평가가 매우 긍정적이며 응답·선택지 모두 만족한 상태임</t>
  </si>
  <si>
    <t>최종 평가: 👍 / 응답: 👍7 총 7개 응답 / 선택지: 👍7</t>
  </si>
  <si>
    <t>tf-evt-mn6t0yvk-tisf9bx5</t>
  </si>
  <si>
    <t>RLH-0062</t>
  </si>
  <si>
    <t>알루미늄 8mm 볼엔드밀 추천 요청, 후보 제시</t>
  </si>
  <si>
    <t>🧭 초기 조건: 문의 목적=신규 제품 추천 / 피삭재 (소재)=알루미늄 / 가공 형상=Side_Milling / 가공 방식=Milling / 공구 직경=8mm
🤖 AI assistant [응답 👍] [선택지 👍]: 알루미늄 소재, 8mm 직경으로 Side Milling 작업이시군요. 현재 406개 제품이 매칭됩니다.
알루미늁 내에서도 세부 소재에 따라 최적 제품이 달라집니다. 어떤 소재를 가공하시나요?
  [선택지: 비철금속 (50개) | 알루미늄 (60개) | 알루미늄 합금 (10개) | 상관없음]
👤 사용자: 상관없음
🤖 AI assistant [응답 👍] [선택지 👍]: 직경 8mm 근처에 6, 6.35, 6.5, 7, 7.5mm가 있습니다. 정확한 직경을 선택해주세요.
  [선택지: 6mm | 6.35mm | 6.5mm | 7mm | 7.5mm …]
👤 사용자: 정확하게 8mm 없어 ?
🤖 AI assistant [응답 👍] [선택지 👍]: 네, 정확히 8mm 제품 122개 있습니다!
가공 형상에 따라 Square(75개), Radius(27개), Roughing(6개) 등으로 나뉩니다. 어떤 형상이 필요하신가요? Side Milling엔 보통 Square나 Radius를 많이 쓰는데요.
  [선택지: Square (75개) | Radius (27개) | Roughing (6개) | Ball (2개) | 상관없음 …]
👤 사용자: Ball (2개)
🤖 AI assistant [응답 👍] [선택지 👍]: 알루미늄 볼엔드밀(φ8mm)용으로 **ALU-POWER EG910080**(2날)을 추천드립니다.
**추천 근거:**
- 직경 8mm 정확 매칭, 비철 전용 N군 소재 최적화
- TiCN 코팅으로 알루미늄 가공 시 용착 방지 효과
- 2날 설계로 칩 배출 원활, 측면 가공(Side Milling)에 적합
**대안:** EG908080(3날)도 동일 스펙이나, 3날 구조로 마무리 품질이 더 우수합니다. 거친 가공은 2날(EG910080), 정밀 마무리는 3날(EG908080) 선택을 권장합니다.
**주의:** 현재 재고 limited 상태이며, 절삭조건/납기 정보가 확인되지 않아 주문 전 본사(032-526-0909) 확인 필요합니다.
📋 **Reference:** YG-1 내부 DB (카탈로그/재고 데이터)
  [선택지: 날수로 좁히기 (2날/3날) | 상위 2개 비교 | EG910080 상세 정보 | 다른 코팅 옵션 보기 | 시리즈 차이 설명해줘 (EG910 vs EG908) …]</t>
  </si>
  <si>
    <t>🎯 의도: 알루미늄용 8mm Ball 형상 절삭공구 추천
✅ 정답 행동: 사용자가 선택한 Ball 조건에 맞춰 8mm 알루미늄용 볼엔드밀을 1차 추천하고, 필요 시 대안 1개와 차이(날수/용도)를 간단히 안내했어야 함. 재고·납기 등 불확실 정보는 확인 전 단정하지 말고 안내만 해야 함.
⚠️ 당시 문제: 특이사항 없음
💬 코멘트 분석: 코멘트 없음</t>
  </si>
  <si>
    <t>tf-evt-mn83jb0d-0iy238k9</t>
  </si>
  <si>
    <t>RLH-0063</t>
  </si>
  <si>
    <t>8mm 알루미늄 볼엔드밀 추천 후 다른 직경 문의</t>
  </si>
  <si>
    <t>🧭 초기 조건: 문의 목적=신규 제품 추천 / 피삭재 (소재)=알루미늄 / 가공 형상=Side_Milling / 가공 방식=Milling / 공구 직경=8mm
🤖 AI assistant [응답 👍] [선택지 👍]: 알루미늄 소재, 8mm 직경으로 Side Milling 작업이시군요. 현재 406개 제품이 매칭됩니다.
알루미늁 내에서도 세부 소재에 따라 최적 제품이 달라집니다. 어떤 소재를 가공하시나요?
  [선택지: 비철금속 (50개) | 알루미늄 (60개) | 알루미늄 합금 (10개) | 상관없음]
👤 사용자: 상관없음
🤖 AI assistant [응답 👍] [선택지 👍]: 직경 8mm 근처에 6, 6.35, 6.5, 7, 7.5mm가 있습니다. 정확한 직경을 선택해주세요.
  [선택지: 6mm | 6.35mm | 6.5mm | 7mm | 7.5mm …]
👤 사용자: 정확하게 8mm 없어 ?
🤖 AI assistant [응답 👍] [선택지 👍]: 네, 정확히 8mm 제품 122개 있습니다!
가공 형상에 따라 Square(75개), Radius(27개), Roughing(6개) 등으로 나뉩니다. 어떤 형상이 필요하신가요? Side Milling엔 보통 Square나 Radius를 많이 쓰는데요.
  [선택지: Square (75개) | Radius (27개) | Roughing (6개) | Ball (2개) | 상관없음 …]
👤 사용자: Ball (2개)
🤖 AI assistant [응답 👍] [선택지 👍]: 알루미늄 볼엔드밀(φ8mm)용으로 **ALU-POWER EG910080**(2날)을 추천드립니다.
**추천 근거:**
- 직경 8mm 정확 매칭, 비철 전용 N군 소재 최적화
- TiCN 코팅으로 알루미늄 가공 시 용착 방지 효과
- 2날 설계로 칩 배출 원활, 측면 가공(Side Milling)에 적합
**대안:** EG908080(3날)도 동일 스펙이나, 3날 구조로 마무리 품질이 더 우수합니다. 거친 가공은 2날(EG910080), 정밀 마무리는 3날(EG908080) 선택을 권장합니다.
**주의:** 현재 재고 limited 상태이며, 절삭조건/납기 정보가 확인되지 않아 주문 전 본사(032-526-0909) 확인 필요합니다.
📋 **Reference:** YG-1 내부 DB (카탈로그/재고 데이터)
  [선택지: 날수로 좁히기 (2날/3날) | 상위 2개 비교 | EG910080 상세 정보 | 다른 코팅 옵션 보기 | 시리즈 차이 설명해줘 (EG910 vs EG908) …]
👤 사용자: φ8mm 외 다른 직경
🤖 AI assistant [응답 👍] [선택지 👍]: 8MM 제품 정보를 내부 DB에서 찾지 못했습니다.
현재 후보 제품의 제품코드로 다시 물어보시면 해당 제품 정보를 조회해드릴 수 있습니다.
[Reference: YG-1 내부 DB]
  [선택지: 후보 제품 보기 | 추천 제품 보기 | 처음부터 다시]</t>
  </si>
  <si>
    <t>🎯 의도: 알루미늄 Side Milling용 φ8mm 공구를 추천받고, 다른 직경 가능 여부도 확인
✅ 정답 행동: φ8mm 조건으로 적합한 제품을 추천하고, 사용자가 “다른 직경”을 물으면 8mm 외 대체 직경 후보를 명확히 제시해야 함.  
정확히 8mm 제품이 있으면 그대로 안내하고, 없을 경우에는 가장 근접한 대체 직경과 그 차이를 설명해야 함.
⚠️ 당시 문제: 특이사항 없음
💬 코멘트 분석: 정확한 8mm 제품과 다른 직경 후보를 함께 확인하고 싶다는 요구 핵심</t>
  </si>
  <si>
    <t>tf-evt-mn83kgh4-7lnzreaj</t>
  </si>
  <si>
    <t>RLH-0064</t>
  </si>
  <si>
    <t>8.5mm 스테인리스 트로코이달 엔드밀 추천 요청</t>
  </si>
  <si>
    <t>🧭 초기 조건: 문의 목적=신규 제품 추천 / 피삭재 (소재)=스테인리스 / 가공 형상=Trochoidal / 가공 방식=Milling / 공구 직경=10mm
🤖 AI assistant [응답 👍] [선택지 👍]: 스테인리스 소재, 10mm 직경으로 Trochoidal 가공용 엔드밀을 찾으시는군요. 현재 308개 제품이 매칭됩니다.
스테인리스 중에서도 구체적으로 어떤 재질을 가공하시나요?
  [선택지: 스테인레스강 (31개) | 스테인레스강 300 (13개) | 스테인레스강 400 (13개) | 티타늄 합금 (3개) | 상관없음]
👤 사용자: 상관없음
🤖 AI assistant [응답 👍] [선택지 👍]: 직경 10mm 근처에 8, 8.5, 8.7, 9, 9.5mm가 있습니다. 정확한 직경을 선택해주세요.
  [선택지: 8mm | 8.5mm | 8.7mm | 9mm | 9.5mm …]
👤 사용자: 10mm로 해줘요
🤖 AI assistant [응답 👍] [선택지 👍]: 10mm로 설정했습니다. 이제 78개 중에서 고르겠습니다.
Trochoidal 가공이라면 **러핑(Roughing) 타입**이 적합합니다. 거친 절삭에 강하고 칩 배출이 좋거든요.
추천 제품:
**1. GYG03100** (ONLY ONE 시리즈, 4날, Y-Coating) - 스테인리스 전용 러핑 엔드밀로 트로코이달 가공에 최적화되어 있습니다.
**2. GYF98100** (4날, Y-Coating) - 동일하게 러핑 타입이며 칩 배출 성능이 우수합니다.
Square(정사각 날끝)가 필요하시면 **GYG01100**(3날) 또는 **GYF96100**(4날)도 가능합니다. 어떤 타입이 좋으세요?
  [선택지: Square (43개) | Roughing (23개) | Ball (8개) | Radius (3개) | 상관없음 …]
👤 사용자: 아 8.5mm로 바꿀래
🤖 AI assistant [응답 👍] [선택지 👍]: 스테인리스 트로코이달 가공용으로 **JET-POWER EH914085**를 추천드립니다.
**추천 근거:**
- 요청하신 8.5mm 직경에 정확히 일치
- 스테인리스(M군) 가공에 최적화된 TiAlN 코팅 적용
- 트로코이달 밀링 방식에 적합한 4날 스퀘어 엔드밀
- 재고 확보 상태로 즉시 출고 가능
**대안 제품:**
- **GA931085N (TANK-POWER)**: 2날 X-Coating 제품으로, 칩 배출이 중요한 깊은 홈 가공 시 유리
- **G9540085 (K-2 CARBIDE)**: 4날 TiAlN으로 1순위와 유사하나, 범용 카바이드 라인
- **EH912085 (JET-POWER)**: 동일 시리즈의 2날 버전으로, 절삭 저항 최소화가 필요할 때 선택
⚠️ **참고사항:**
- 절삭조건 데이터는 현재 확인되지 않습니다. 본사(032-526-0909)에서 확인 가능합니다.
- 납기 정보는 재고 상태 기준이며, 정확한 납기는 주문 시 확인됩니다.
📋 **Reference:** YG-1 내부 DB (카탈로그 데이터, 재고 정보)
  [선택지: 코팅으로 좁히기 (TiAlN/X-Coating) | 날수로 좁히기 (2날/4날) | 상위 3개 비교 | EH914085 상세 정보 | 시리즈 차이 설명해줘 (EH914 vs GA931) …]</t>
  </si>
  <si>
    <t>🎯 의도: 스테인리스용 8.5mm 트로코이달 밀링 공구를 추천받고자 함
✅ 정답 행동: 사용자가 8.5mm로 변경했으므로 해당 직경 기준으로 스테인리스/트로코이달/밀링 조건에 맞는 제품을 다시 정확히 추천해야 함. 직경 일치, 가공 적합성, 코팅/날수 근거를 간단히 제시하고 대안도 함께 안내해야 함.
⚠️ 당시 문제: 특이사항 없음
💬 코멘트 분석: 최종 응답과 선택지가 모두 적절하다는 긍정 평가임</t>
  </si>
  <si>
    <t>tf-evt-mn8488ke-l6n9rdvb</t>
  </si>
  <si>
    <t>RLH-0065</t>
  </si>
  <si>
    <t>8.5mm 트로코이달용 스테인리스 엔드밀 추천</t>
  </si>
  <si>
    <t>🧭 초기 조건: 문의 목적=신규 제품 추천 / 피삭재 (소재)=스테인리스 / 가공 형상=Trochoidal / 가공 방식=Milling / 공구 직경=10mm
🤖 AI assistant [응답 👍] [선택지 👍]: 스테인리스 소재, 10mm 직경으로 Trochoidal 가공용 엔드밀을 찾으시는군요. 현재 308개 제품이 매칭됩니다.
스테인리스 중에서도 구체적으로 어떤 재질을 가공하시나요?
  [선택지: 스테인레스강 (31개) | 스테인레스강 300 (13개) | 스테인레스강 400 (13개) | 티타늄 합금 (3개) | 상관없음]
👤 사용자: 상관없음
🤖 AI assistant [응답 👍] [선택지 👍]: 직경 10mm 근처에 8, 8.5, 8.7, 9, 9.5mm가 있습니다. 정확한 직경을 선택해주세요.
  [선택지: 8mm | 8.5mm | 8.7mm | 9mm | 9.5mm …]
👤 사용자: 10mm로 해줘요
🤖 AI assistant [응답 👍] [선택지 👍]: 10mm로 설정했습니다. 이제 78개 중에서 고르겠습니다.
Trochoidal 가공이라면 **러핑(Roughing) 타입**이 적합합니다. 거친 절삭에 강하고 칩 배출이 좋거든요.
추천 제품:
**1. GYG03100** (ONLY ONE 시리즈, 4날, Y-Coating) - 스테인리스 전용 러핑 엔드밀로 트로코이달 가공에 최적화되어 있습니다.
**2. GYF98100** (4날, Y-Coating) - 동일하게 러핑 타입이며 칩 배출 성능이 우수합니다.
Square(정사각 날끝)가 필요하시면 **GYG01100**(3날) 또는 **GYF96100**(4날)도 가능합니다. 어떤 타입이 좋으세요?
  [선택지: Square (43개) | Roughing (23개) | Ball (8개) | Radius (3개) | 상관없음 …]
👤 사용자: 아 8.5mm로 바꿀래
🤖 AI assistant [응답 👍] [선택지 👍]: 스테인리스 트로코이달 가공용으로 **JET-POWER EH914085**를 추천드립니다.
**추천 근거:**
- 요청하신 8.5mm 직경에 정확히 일치
- 스테인리스(M군) 가공에 최적화된 TiAlN 코팅 적용
- 트로코이달 밀링 방식에 적합한 4날 스퀘어 엔드밀
- 재고 확보 상태로 즉시 출고 가능
**대안 제품:**
- **GA931085N (TANK-POWER)**: 2날 X-Coating 제품으로, 칩 배출이 중요한 깊은 홈 가공 시 유리
- **G9540085 (K-2 CARBIDE)**: 4날 TiAlN으로 1순위와 유사하나, 범용 카바이드 라인
- **EH912085 (JET-POWER)**: 동일 시리즈의 2날 버전으로, 절삭 저항 최소화가 필요할 때 선택
⚠️ **참고사항:**
- 절삭조건 데이터는 현재 확인되지 않습니다. 본사(032-526-0909)에서 확인 가능합니다.
- 납기 정보는 재고 상태 기준이며, 정확한 납기는 주문 시 확인됩니다.
📋 **Reference:** YG-1 내부 DB (카탈로그 데이터, 재고 정보)
  [선택지: 코팅으로 좁히기 (TiAlN/X-Coating) | 날수로 좁히기 (2날/4날) | 상위 3개 비교 | EH914085 상세 정보 | 시리즈 차이 설명해줘 (EH914 vs GA931) …]
👤 사용자: 3턴 전으로 가줄래!
🤖 AI assistant [응답 👍] [선택지 👍]: 알겠습니다. 3턴 전으로 돌아갔습니다. 직경 10mm 근처의 옵션으로 돌아왔으니, 원하시는 직경을 다시 선택해주세요. 8mm, 8.5mm, 8.7mm, 9mm, 9.5mm, 10mm 중 어느 것으로 진행하시겠어요?
  [선택지: 8mm | 8.5mm | 8.7mm | 9mm | 9.5mm …]</t>
  </si>
  <si>
    <t>🎯 의도: 스테인리스 Trochoidal Milling용 8.5mm 공구 추천
✅ 정답 행동: 8.5mm 조건으로 다시 맞춘 뒤, 스테인리스/트로코이달에 적합한 제품을 1~3개 정확히 추천하고 필요 시 코팅·날수·형상으로만 간단히 비교해야 함.
⚠️ 당시 문제: 10mm 조건으로 안내하다가 사용자가 8.5mm로 변경했는데, 직전 선택지로 되돌리기만 하고 최종 추천을 재진행하지 않음
💬 코멘트 분석: 사용자는 전체 응답과 선택지가 모두 적절했다고 평가함</t>
  </si>
  <si>
    <t>tf-evt-mn84a7rz-vvxy4ak0</t>
  </si>
  <si>
    <t>RLH-0066</t>
  </si>
  <si>
    <t>3턴 전 이전 단계로 되돌리기 요청</t>
  </si>
  <si>
    <t>🧭 초기 조건: 문의 목적=신규 제품 추천 / 피삭재 (소재)=스테인리스 / 가공 형상=Trochoidal / 가공 방식=Milling / 공구 직경=10mm
🤖 AI assistant [응답 👍] [선택지 👍]: 스테인리스 소재, 10mm 직경으로 Trochoidal 가공용 엔드밀을 찾으시는군요. 현재 308개 제품이 매칭됩니다.
스테인리스 중에서도 구체적으로 어떤 재질을 가공하시나요?
  [선택지: 스테인레스강 (31개) | 스테인레스강 300 (13개) | 스테인레스강 400 (13개) | 티타늄 합금 (3개) | 상관없음]
👤 사용자: 상관없음
🤖 AI assistant [응답 👍] [선택지 👍]: 직경 10mm 근처에 8, 8.5, 8.7, 9, 9.5mm가 있습니다. 정확한 직경을 선택해주세요.
  [선택지: 8mm | 8.5mm | 8.7mm | 9mm | 9.5mm …]
👤 사용자: 10mm로 해줘요
🤖 AI assistant [응답 👍] [선택지 👍]: 10mm로 설정했습니다. 이제 78개 중에서 고르겠습니다.
Trochoidal 가공이라면 **러핑(Roughing) 타입**이 적합합니다. 거친 절삭에 강하고 칩 배출이 좋거든요.
추천 제품:
**1. GYG03100** (ONLY ONE 시리즈, 4날, Y-Coating) - 스테인리스 전용 러핑 엔드밀로 트로코이달 가공에 최적화되어 있습니다.
**2. GYF98100** (4날, Y-Coating) - 동일하게 러핑 타입이며 칩 배출 성능이 우수합니다.
Square(정사각 날끝)가 필요하시면 **GYG01100**(3날) 또는 **GYF96100**(4날)도 가능합니다. 어떤 타입이 좋으세요?
  [선택지: Square (43개) | Roughing (23개) | Ball (8개) | Radius (3개) | 상관없음 …]
👤 사용자: 아 8.5mm로 바꿀래
🤖 AI assistant [응답 👍] [선택지 👍]: 스테인리스 트로코이달 가공용으로 **JET-POWER EH914085**를 추천드립니다.
**추천 근거:**
- 요청하신 8.5mm 직경에 정확히 일치
- 스테인리스(M군) 가공에 최적화된 TiAlN 코팅 적용
- 트로코이달 밀링 방식에 적합한 4날 스퀘어 엔드밀
- 재고 확보 상태로 즉시 출고 가능
**대안 제품:**
- **GA931085N (TANK-POWER)**: 2날 X-Coating 제품으로, 칩 배출이 중요한 깊은 홈 가공 시 유리
- **G9540085 (K-2 CARBIDE)**: 4날 TiAlN으로 1순위와 유사하나, 범용 카바이드 라인
- **EH912085 (JET-POWER)**: 동일 시리즈의 2날 버전으로, 절삭 저항 최소화가 필요할 때 선택
⚠️ **참고사항:**
- 절삭조건 데이터는 현재 확인되지 않습니다. 본사(032-526-0909)에서 확인 가능합니다.
- 납기 정보는 재고 상태 기준이며, 정확한 납기는 주문 시 확인됩니다.
📋 **Reference:** YG-1 내부 DB (카탈로그 데이터, 재고 정보)
  [선택지: 코팅으로 좁히기 (TiAlN/X-Coating) | 날수로 좁히기 (2날/4날) | 상위 3개 비교 | EH914085 상세 정보 | 시리즈 차이 설명해줘 (EH914 vs GA931) …]
👤 사용자: 3턴 전으로 가줄래!
🤖 AI assistant [응답 👍] [선택지 👍]: 알겠습니다. 3턴 전으로 돌아갔습니다. 직경 10mm 근처의 옵션으로 돌아왔으니, 원하시는 직경을 다시 선택해주세요. 8mm, 8.5mm, 8.7mm, 9mm, 9.5mm, 10mm 중 어느 것으로 진행하시겠어요?
  [선택지: 8mm | 8.5mm | 8.7mm | 9mm | 9.5mm …]
👤 사용자: 아니야 그전 단계로
🤖 AI assistant [응답 👍] [선택지 👍]: 알겠습니다. 한 단계 이전으로 돌아갔습니다.
현재까지 설정된 내용:
- 소재: 스테인리스 스틸(M군)
- 가공 방식: 트로코이달 밀링
이 조건을 유지하고 직경을 다시 선택하시겠어요? 아니면 가공 방식이나 소재부터 다시 검토하고 싶으신가요?
  [선택지: 트로코이달 밀링 (Trochoidal Milling) 계속 | 다른 가공 방식으로 변경 | 소재 재선택 (처음부터)]</t>
  </si>
  <si>
    <t>🎯 의도: 직경 선택 전 단계로 돌아가 조건을 다시 보려 함
✅ 정답 행동: 3턴 전이 아니라 사용자가 요청한 “그전 단계”를 정확히 해석해, 직경 설정 직전의 단계로 복귀시켜야 함. 직경 후보를 다시 제시하기보다 직전 선택 흐름(소재/가공방식 유지 여부 포함)을 기준으로 이전 단계 상태를 복원하고 안내해야 함.
⚠️ 당시 문제: “3턴 전”과 “그전 단계”를 동일하게 처리해 사용자가 원한 한 단계 뒤로 가기 의도를 정확히 반영하지 못함
💬 코멘트 분석: 최종 평가는 좋지만, 사용자는 3턴 전이 아니라 바로 전 단계 복귀를 원함</t>
  </si>
  <si>
    <t>tf-evt-mn84aozu-gwcnnscs</t>
  </si>
  <si>
    <t>RLH-0067</t>
  </si>
  <si>
    <t>재고 있는 즉시구매용 황삭공구 추천 요청</t>
  </si>
  <si>
    <t>🧭 초기 조건: 문의 목적=신규 제품 추천 / 피삭재 (소재)=알루미늄 / 가공 형상=Side_Milling / 가공 방식=Milling / 공구 직경=10mm
🤖 AI assistant [응답 👍] [선택지 👍]: 공구 세부 타입이 중요한가요? Square (252개), Radius (95개), Roughing (24개) 등이 있습니다.
  [선택지: Square (252개) | Radius (95개) | Roughing (24개) | Drill Mill (8개) | 상관없음 …]
👤 사용자: Roughing (24개)
🤖 AI assistant [응답 👍] [선택지 👍]: 네, 알루미늄 측면 가공용 Roughing 엔드밀 24개가 매칭되었습니다.
현재 후보군은 크게 두 브랜드로 나뉩니다:
**[ALU-POWER 시리즈]**
- 알루미늄 전용 설계
- 3날 구성
- Bright Finish(무코팅) 또는 고급 코팅
- 대표 시리즈: E5E39, E5711
**[TANK-POWER 시리즈]**
- 범용 고강도 시리즈
- 4날 구성
- X-Coating 적용
- 대표 시리즈: GAA35, GAA33, GA941, GAA22
현재 φ10mm 기준으로 정확히 매칭되는 제품이 6개, φ9mm 유사 규격이 4개 포함되어 있습니다.
**다음 단계로 좁히기 위해 여쭙겠습니다:**
날 수(flute) 선호가 있으신가요?
- **3날**: 칩 배출 우수, 고속 가공에 유리 (ALU-POWER 계열)
- **4날**: 마무리 품질 우수, 안정적인 가공 (TANK-POWER 계열)
- **상관없음**: AI가 가공 조건에 맞춰 최적 제품을 선택하겠습니다
  [선택지: 3날 (13개) | 4날 (11개) | 상관없음 | ⟵ 이전 단계 | 📋 지금 바로 제품 보기 (24개) …]
👤 사용자: ✨ AI 상세 분석
🤖 AI assistant [응답 👍] [선택지 👍]: ## 🔍 현재 추천 상황 분석
**매칭 상태**: 24개 제품 (6개 정확 매칭, 18개 근사 매칭) 
**스코어 분포**: 상위 6개 84점 (정확), 나머지 56점 (직경 9mm 근사)
---
### 📊 제품군 구조
**1. ALU-POWER (알루미늄 전용)**
- E5E39: 3날, Neck 형상, 깊은 홈 가공용
- E5711: 3날, Long 타입, 깊은 황삭 전용
- 특징: 무코팅, 날카로운 인선, 칩 배출 최적화
**2. TANK-POWER (범용 고강도)**
- GAA35/GAA33/GA941/GAA22: 4날, X-Coating
- Fine/Coarse 구분 (칩 크기)
- Short/Medium/Long 길이 옵션
- 특징: 범용성(P/M/K/N), 내마모 코팅
---
### 🎯 선택 가이드
**3날 선택 시** (13개)
→ 알루미늄 전용, 칩 배출 우선, 고속 가공 
→ 대표: **E5E39100**, **E5711100**
**4날 선택 시** (11개)
→ 범용성, 면조도/생산성 균형 
→ 대표: **GAA35100** (Fine), **GAA33100** (Coarse)
---
### 💡 추가 결정 포인트
1. **가공 깊이**: Neck 형상 필요? → E5E39 
2. **칩 크기 제어**: Fine(미세) vs Coarse(굵게) 
3. **범용성**: 알루미늄 외 소재도? → TANK-POWER
날수를 선택하시면 최적 제품 1~2개로 좁혀드리겠습니다!
다시 제품 추천으로 돌아갈게요. 네, 알루미늄 측면 가공용 Roughing 엔드밀 24개가 매칭되었습니다.
현재 후보군은 크게 두 브랜드로 나뉩니다:
**[ALU-POWER 시리즈]**
- 알루미늄 전용 설계
- 3날 구성
- Bright Finish(무코팅) 또는 고급 코팅
- 대표 시리즈: E5E39, E5711
**[TANK-POWER 시리즈]**
- 범용 고강도 시리즈
- 4날 구성
- X-Coating 적용
- 대표 시리즈: GAA35, GAA33, GA941, GAA22
현재 φ10mm 기준으로 정확히 매칭되는 제품이 6개, φ9mm 유사 규격이 4개 포함되어 있습니다.
**다음 단계로 좁히기 위해 여쭙겠습니다:**
날 수(flute) 선호가 있으신가요?
- **3날**: 칩 배출 우수, 고속 가공에 유리 (ALU-POWER 계열)
- **4날**: 마무리 품질 우수, 안정적인 가공 (TANK-POWER 계열)
- **상관없음**: AI가 가공 조건에 맞춰 최적 제품을 선택하겠습니다
  [선택지: 3날 (13개) | 4날 (11개) | 상관없음 | ⟵ 이전 단계 | 📋 지금 바로 제품 보기 (24개) …]
👤 사용자: 📋 지금 바로 제품 보기 (24개)
🤖 AI assistant [응답 👍] [선택지 👍]: ```json
{
 "responseText": "## 알루미늄 황삭 가공용 추천 제품\n\n알루미늑 소재의 Side Milling 황삭 가공용으로 **ALU-POWER E5E39100**을 추천드립니다.\n\n---\n\n### [DB 데이터]\n\n**■ 제품 사양**\n- 제품코드: E5E39100\n- 시리즈: ALU-POWER E5E39\n- 형상: Roughing (황삭)\n- 직경: φ10mm\n- 날 수: 3날\n- 코팅: Bright Finish (무코팅)\n- 적합 소재: K(주강), N(비철), P(탄소강) 계열\n- 재고: **재고 있음**\n- 납기: 정보 없음 (재고 제품이므로 즉시 출고 가능)\n\n**■ 추천 근거**\n\n1. **직경 완벽 일치 (40/40점)** \n 요청하신 φ10mm와 정확히 일치합니다.\n\n2. **소재 적합성 (20/20점)** \n 알루미늄은 N군(비철금속)에 속하며, 본 제품의 materialTags에 'N'이 포함되어 있어 완벽히 매칭됩니다.\n\n3. **가공 방식 부분 일치 (8/15점)** \n 요청하신 Side Milling은 제품이 지원하는 가공방식(Side_Milling, Slotting, Die-Sinking, Small_Part, Facing) 중 하나로 포함되어 있습니다.\n\n4. **황삭 전용 형상** \n Roughing 타입으로 분류되어 있어, 대량의 칩 배출이 필요한 황삭 공정에 최적화되어 있습니다.\n\n**■ 절삭조건** \n현재 데이터베이스에서 절삭조건(Vc, fz, ap, ae) 정보를 확인할 수 없습니다. 자세한 절삭 파라미터는 카탈로그를 참조하시거나 본사(032-526-0909)로 문의하시기 바랍니다.\n\n---\n\n### [AI 보충 의견]\n\n**■ ALU-POWER 시리즈 특징**\n\nALU-POWER는 YG-1의 알루미늄 전용 시리즈로, 비철금속 가공에 최적화된 날 형상과 헬릭스 각도를 갖추고 있습니다. E5E39는 특히:\n\n- **3날 구조**: 칩 배출 공간이 넓어 알루미늄의 긴 칩을 효율적으로 배출하며, 절삭 저항을 낮춰줍니다.\n- **Bright Finish**: 무코팅 처리로 날 끝의 예리함을 극대화하여 알루미늄 가공 시 표면 조도를 개선합니다. 알루미늄처럼 연한 소재는 코팅보다 날카로운 날이 더 유리할 수 있습니다.\n- **황삭 전용**: 거친 절삭으로 빠르게 재료를 제거하는 데 특화되어 있어, 초기 가공 단계에서 생산성을 높일 수 있습니다.\n\n**■ 가공 적용 팁**\n\n1. **절삭유 사용 권장**: 알루미늄은 절삭 시 공구에 달라붙는 경향(Built-Up Edge)이 있으므로, 충분한 절삭유 공급으로 칩 배출과 열 제거를 도와주세요.\n2. **회전수 높게, 이송 적절히**: 알루미늄은 경도가 낮아 고속 가공이 가능합니다. 일반적으로 3,000~5,000 RPM 이상으로 시작하되, 이송은 공구 직경과 날 수를 고려해 조절하세요.\n3. **절입 깊이**: 황삭이므로 ap(축방향 절입) 2~4mm, ae(경방향 절입)는 직경의 40~60% 정도로 시작하는 것을 추천합니다.\n\n**■ 대안 제품 비교**\n\n현재 조건에서 동일한 84점의 제품이 5개 더 있습니다. 주요 차이점을 비교해드립니다:\n\n| 순위 | 제품코드 | 시리즈 | 날수 | 코팅 | 브랜드 | 특징 |\n|------|----------|--------|------|------|--------|------|\n| 1 | **E5E39100** | E5E39 | 3F | Bright
  [선택지: 날수로 좁히기 (3날/4날) | 코팅으로 좁히기 (Bright Finish/UNCOATED/X-Coating) | 상위 3개 비교 | E5E39100 상세 정보 | 시리즈 차이 설명해줘 (E5E39 vs E5711) …]
👤 사용자: 재고 확인 된거만 보여줘
🤖 AI assistant: "instock" 조건을 적용하면 후보가 없습니다. 현재 24개 후보에서 다른 조건을 선택해주세요.
  [선택지: 3날 (13개) | 4날 (11개) | 상관없음 | ⟵ 이전 단계 | 📋 지금 바로 제품 보기 (24개) …]
👤 사용자: 지금 재고 정보 있지않아?
🤖 AI assistant [응답 👍] [선택지 👍]: 네, 맞습니다! 현재 표시된 상위 5개 제품의 재고 정보가 있습니다:
**표시된 제품 재고 현황:**
- #1 E5E39100 (E5E39 시리즈, φ10mm, 3날, Bright Finish)
- #2 E5711100 (E5711 시리즈, φ10mm, 3날, UNCOATED)
- #3 GAA35100 (GAA35 시리즈, φ10mm, 4날, X-Coating)
- #4 GAA33100 (GAA33 시리즈, φ10mm, 4날, X-Coating)
- #5 GA941100 (GA941 시리즈, φ10mm, 4날, X-Coating)
현재 총 **24개의 Roughing 엔드밀** 후보가 있습니다.
만약 **재고가 있는 제품만** 보고 싶으시다면 "재고 있는 거로" 또는 "즉시 구매 가능한 것만"이라고 말씀해 주시면, 재고 기준으로 필터링해 드리겠습니다!
또는 날수(3날/4날)를 먼저 선택하시면 더 정확한 추천을 드릴 수 있습니다. 어떻게 진행하시겠어요?
[Reference: YG-1 내부 DB]
  [선택지: 쉽게 설명해줘 | 추천으로 골라줘 | 상관없음 | 3날이란? | 4날이란? …]
👤 사용자: 즉시 구매 가능한 것만
🤖 AI assistant [응답 👍] [선택지 👍]: 알겠습니다. 재고가 있는 제품만으로 범위를 좁히겠습니다.
현재 재고 있는 Roughing 엔드밀이 **24개** 확인됩니다. 모두 즉시 구매 가능한 제품들입니다.
이 중에서 **날 수(flute)** 선호가 있으신가요?
[DB 데이터]
- 3날: 10개 제품 (E5E39, E5711 시리즈 등)
- 4날: 14개 제품 (GAA35, GAA33, GA941, GAA22 시리즈 등)
[AI 보충 의견]
알루미늄 황삭 가공 시:
- **3날**: 칩 배출 공간이 넓어 알루미늄처럼 칩이 길게 나오는 소재에 유리하며, 절삭 저항이 낮아 고속 가공에 적합합니다.
- **4날**: 날당 이송이 줄어들어 표면 조도가 더 좋고, 공구 강성이 높아 안정적인 가공이 가능합니다.
황삭 가공에서는 일반적으로 **3날**을 많이 선택하시지만, 가공 안정성을 우선하신다면 **4날**도 좋은 선택입니다.
어떤 날 수를 선호하시나요? 상관없으시면 "상관없음"을 선택해주세요.
  [선택지: 3날 (13개) | 4날 (11개) | 상관없음 | ⟵ 이전 단계 | 📋 지금 바로 제품 보기 (24개) …]
👤 사용자: 상관없음
🤖 AI assistant [응답 👍] [선택지 👍]: 세부 피삭재를 선택해주세요.
  [선택지: 상관없음 | ⟵ 이전 단계 | 📋 지금 바로 제품 보기 (24개) | ✨ AI 상세 분석]</t>
  </si>
  <si>
    <t>🎯 의도: 알루미늄 Side Milling용 φ10 황삭공구를 즉시 구매 가능한 재고 제품으로 추천받기
✅ 정답 행동: 재고 필터가 실제로 적용된 상태에서 즉시 구매 가능한 후보만 다시 보여주고, 그중 최종 추천 1~3개를 제시해야 함. 재고가 없다고 단정하기 전에 DB의 재고 값과 현재 후보군을 재검증해 안내했어야 함.
⚠️ 당시 문제: 재고 확인 요청에 대해 “후보가 없다”고 잘못 답한 뒤, 이어서 “모두 즉시 구매 가능”이라고 번복해 일관성이 없었음
💬 코멘트 분석: 최종적으로는 즉시 구매 가능한 제품만 보여달라는 요구가 핵심임</t>
  </si>
  <si>
    <t>최종 평가: 👍 / 응답: 👍7 총 8개 응답 / 선택지: 👍7</t>
  </si>
  <si>
    <t>tf-evt-mn8aijej-dcwip539</t>
  </si>
  <si>
    <t>RLH-0068</t>
  </si>
  <si>
    <t>알루미늄 10mm 러핑 4날 제품 추천 요청</t>
  </si>
  <si>
    <t>🧭 초기 조건: 문의 목적=신규 제품 추천 / 피삭재 (소재)=알루미늄 / 가공 형상=Side_Milling / 가공 방식=Milling / 공구 직경=10mm
🤖 AI assistant [응답 👍] [선택지 👍]: 안녕하세요! 알루미늄 소재의 Side Milling 가공을 위한 직경 10mm 공구를 찾아드리겠습니다.
현재 조건에 맞는 제품이 424개 있습니다. 보다 정확한 추천을 위해 몇 가지 여쭤보겠습니다.
먼저, **공구의 형상**이 중요하신가요?
- **Square (252개)**: 평날 엔드밀로, 일반적인 측면 가공과 홈 가공에 가장 많이 사용됩니다. 날끝이 직각이라 바닥면이 평평하게 가공됩니다.
- **Radius (95개)**: 코너에 R이 있는 형상으로, 공구 수명이 길고 측면 가공 시 모서리 결손이 적습니다. 바닥면에 R 자국이 남습니다.
- **Roughing (24개)**: 거친 날 형상으로 고속 황삭 가공에 특화되어 있습니다. 많은 양의 재료를 빠르게 제거할 때 사용합니다.
- **Drill Mill (8개)**: 드릴링과 밀링을 동시에 할 수 있는 복합 공구입니다.
어떤 형상이 필요하신가요? 특별한 선호가 없으시면 "상관없음"을 선택하시면 됩니다.
  [선택지: Square (252개) | Radius (95개) | Roughing (24개) | Drill Mill (8개) | 상관없음 …]
👤 사용자: Roughing (24개)
🤖 AI assistant [응답 👍] [선택지 👍]: 네, 알루미늄 가공용 Roughing 엔드밀 24개 제품이 매칭되었습니다.
현재 후보군은 크게 두 브랜드로 나뉩니다:
**ALU-POWER 시리즈 (알루미늄 전용)**
- E5E39, E5711 등
- 3날 구성
- Bright Finish 또는 무코팅
- 알루미늄(K), 비철금속(N), 플라스틱(P) 최적화
**TANK-POWER 시리즈 (범용 고강성)**
- GAA35, GAA33, GA941, GAA22 등
- 4날 구성
- X-Coating 적용
- 알루미늄 외 연강(M)까지 가공 가능
더 정밀한 추천을 위해 **날 수(flute) 선호**를 여쭤보겠습니다:
• **3날**: 칩 배출이 원활해 알루미늄처럼 연한 소재의 고속 가공에 유리합니다. 절삭유 공급이 좋고 칩이 길게 나오는 환경에 적합합니다.
• **4날**: 날당 이송이 줄어 표면조도가 좋고 공구 수명이 길어집니다. 범용성이 높아 여러 소재를 번갈아 가공하는 환경에 적합합니다.
날 수 선호가 있으신가요? 아니면 "상관없음"을 선택하시면 현재 조건에서 가장 적합한 제품을 바로 추천해드리겠습니다.
  [선택지: 3날 (13개) | 4날 (11개) | 상관없음 | ⟵ 이전 단계 | 📋 지금 바로 제품 보기 (24개) …]
👤 사용자: 4날 (11개)
🤖 AI assistant [응답 👍] [선택지 👍]: 시리즈 선호가 있으신가요? GAA22 — TANK-POWER (5개), GAA35 — TANK-POWER (2개), GAA33 — TANK-POWER (2개) 등의 시리즈가 있습니다.
  [선택지: GAA22 — TANK-POWER (5개) | GAA35 — TANK-POWER (2개) | GAA33 — TANK-POWER (2개) | GA941 — TANK-POWER (2개) | 상관없음 …]
👤 사용자: GAA33 — TANK-POWER (2개)
🤖 AI assistant [응답 👍] [선택지 👍]: ```json
{
 "responseText": "## 알루미늄 측면 가공용으로 TANK-POWER GAA33100을 추천드립니다.\n\n### [DB 데이터]\n\n**제품 스펙**\n- 제품코드: GAA33100\n- 브랜드: TANK-POWER\n- 시리즈: GAA33 (러핑 전용 시리즈)\n- 형상: Roughing (황삭 가공)\n- 직경: φ10mm\n- 날 수: 4날\n- 코팅: X-Coating\n- 적합 소재: K(주철), M(스테인리스), N(비철금속), P(탄소강)\n\n**매칭 근거 (91점 / 100점)**\n\n이 제품을 추천드리는 이유는 고객님의 가공 조건과 정확히 일치하기 때문입니다:\n\n1. **직경 완벽 일치** (40/40점): 요청하신 10mm와 제품 직경이 정확히 일치합니다.\n\n2. **소재 최적 매칭** (20/20점): 알루미늄은 N군(비철금속)에 해당하며, GAA33100은 N군 가공에 특화된 제품입니다. materialTags에 'N'이 명시되어 있어 알루미늄 가공에 최적화되어 있습니다.\n\n3. **날 수 일치** (15/15점): 고객님이 선택하신 4날 사양과 정확히 일치합니다. 4날 구조는 칩 배출이 원활하여 알루미늄 같은 연질 소재의 황삭 가공에 매우 효과적입니다.\n\n4. **가공 방식 적합** (8/15점): 요청하신 측면 가공(Side Milling)을 지원하며, 추가로 슬롯팅(Slotting), 금형 가공(Die-Sinking), 소형 부품 가공(Small Part), 평면 가공(Facing), 트로코이드 가공(Trochoidal)도 가능합니다.\n\n**Roughing(황삭) 형상의 특징**\n\nGAA33 시리즈는 날 표면에 불규칙한 홈(serration)이 있는 러핑 엔드밀로, 일반 엔드밀 대비 다음과 같은 장점이 있습니다:\n- 칩을 작게 분할하여 배출이 용이\n- 절삭 저항 감소로 공구 수명 연장\n- 가공 능률 향상 (황삭 단계에서 빠른 재료 제거)\n\n**재고 및 납기**\n- 재고 정보: 현재 확인되지 않습니다.\n- 납기 정보: 확인되지 않습니다.\n- 정확한 재고 및 납기는 본사(032-526-0909) 또는 온라인 주문 시스템(oos.yg1.solutions)에서 확인하실 수 있습니다.\n\n**절삭조건**\n- 현재 DB에서 이 제품의 권장 절삭조건(Vc, fz, ap, ae) 정보를 확인할 수 없습니다.\n- 구체적인 절삭조건은 카탈로그를 참조하시거나 기술지원팀(032-526-0909)에 문의하시기 바랍니다.\n\n---\n\n### [AI 보충 의견]\n\n**가공 적용 가이드**\n\n알루미늄 측면 가공에서 GAA33100이 특히 유용한 경우:\n\n1. **황삭 단계**: 많은 양의 재료를 빠르게 제거해야 할 때 러핑 엔드밀의 효율이 극대화됩니다. 일반 엔드밀 대비 20-30% 이상 가공 시간을 단축할 수 있습니다.\n\n2. **칩 배출 문제 해결**: 알루미늄은 가공 시 긴 칩이 생성되어 공구나 워크피스에 엉키는 문제가 있는데, 러핑 형상은 칩을 작게 분할하여 이 문제를 근본적으로 해결합니다.\n\n3. **고이송 가공**: 4날 구조와 러핑 형상의 조합으로 높은 이송 속도에서도 안정적인 가공이 가능합니다.\n\n4. **X-Coating의 역할**: 알루미늑 같은 연질 소재에서는 구성인선(Built-up Edge) 방지가 중요한데, X-Coating은 마찰계수를 낮춰 이를 억제합니다.\n\n**대안 제품 비교**\n\n
  [선택지: 상위 2개 비교 | GAA33100 상세 정보 | 다른 코팅 옵션 보기 | φ10mm 외 다른 직경 | Aluminum 가공 팁 보기 …]</t>
  </si>
  <si>
    <t>🎯 의도: 알루미늄 Side Milling용 φ10mm 러핑 공구를 찾고 싶음
✅ 정답 행동: 사용자가 고른 조건(러핑, 4날, GAA33)을 반영해 알루미늄 적합 여부를 다시 검증하고, 실제로는 황삭/러핑 전용 제품이 맞는지 명확히 안내한 뒤 최종 후보 1개 또는 비교 1~2개를 제시했어야 함.
⚠️ 당시 문제: 특이사항 없음
💬 코멘트 분석: 최종 평가가 모두 좋으므로 별도 불만 없이 추천 흐름이 적절했다는 의미임</t>
  </si>
  <si>
    <t>tf-evt-mn8bceah-g32qnx6v</t>
  </si>
  <si>
    <t>RLH-0069</t>
  </si>
  <si>
    <t>알루미늄 러핑 공구 추천 후 다른 직경 탐색</t>
  </si>
  <si>
    <t>🧭 초기 조건: 문의 목적=신규 제품 추천 / 피삭재 (소재)=알루미늄 / 가공 형상=Side_Milling / 가공 방식=Milling / 공구 직경=10mm
🤖 AI assistant [응답 👍] [선택지 👍]: 안녕하세요! 알루미늄 소재의 Side Milling 가공을 위한 직경 10mm 공구를 찾아드리겠습니다.
현재 조건에 맞는 제품이 424개 있습니다. 보다 정확한 추천을 위해 몇 가지 여쭤보겠습니다.
먼저, **공구의 형상**이 중요하신가요?
- **Square (252개)**: 평날 엔드밀로, 일반적인 측면 가공과 홈 가공에 가장 많이 사용됩니다. 날끝이 직각이라 바닥면이 평평하게 가공됩니다.
- **Radius (95개)**: 코너에 R이 있는 형상으로, 공구 수명이 길고 측면 가공 시 모서리 결손이 적습니다. 바닥면에 R 자국이 남습니다.
- **Roughing (24개)**: 거친 날 형상으로 고속 황삭 가공에 특화되어 있습니다. 많은 양의 재료를 빠르게 제거할 때 사용합니다.
- **Drill Mill (8개)**: 드릴링과 밀링을 동시에 할 수 있는 복합 공구입니다.
어떤 형상이 필요하신가요? 특별한 선호가 없으시면 "상관없음"을 선택하시면 됩니다.
  [선택지: Square (252개) | Radius (95개) | Roughing (24개) | Drill Mill (8개) | 상관없음 …]
👤 사용자: Roughing (24개)
🤖 AI assistant [응답 👍] [선택지 👍]: 네, 알루미늄 가공용 Roughing 엔드밀 24개 제품이 매칭되었습니다.
현재 후보군은 크게 두 브랜드로 나뉩니다:
**ALU-POWER 시리즈 (알루미늄 전용)**
- E5E39, E5711 등
- 3날 구성
- Bright Finish 또는 무코팅
- 알루미늄(K), 비철금속(N), 플라스틱(P) 최적화
**TANK-POWER 시리즈 (범용 고강성)**
- GAA35, GAA33, GA941, GAA22 등
- 4날 구성
- X-Coating 적용
- 알루미늄 외 연강(M)까지 가공 가능
더 정밀한 추천을 위해 **날 수(flute) 선호**를 여쭤보겠습니다:
• **3날**: 칩 배출이 원활해 알루미늄처럼 연한 소재의 고속 가공에 유리합니다. 절삭유 공급이 좋고 칩이 길게 나오는 환경에 적합합니다.
• **4날**: 날당 이송이 줄어 표면조도가 좋고 공구 수명이 길어집니다. 범용성이 높아 여러 소재를 번갈아 가공하는 환경에 적합합니다.
날 수 선호가 있으신가요? 아니면 "상관없음"을 선택하시면 현재 조건에서 가장 적합한 제품을 바로 추천해드리겠습니다.
  [선택지: 3날 (13개) | 4날 (11개) | 상관없음 | ⟵ 이전 단계 | 📋 지금 바로 제품 보기 (24개) …]
👤 사용자: 4날 (11개)
🤖 AI assistant [응답 👍] [선택지 👍]: 시리즈 선호가 있으신가요? GAA22 — TANK-POWER (5개), GAA35 — TANK-POWER (2개), GAA33 — TANK-POWER (2개) 등의 시리즈가 있습니다.
  [선택지: GAA22 — TANK-POWER (5개) | GAA35 — TANK-POWER (2개) | GAA33 — TANK-POWER (2개) | GA941 — TANK-POWER (2개) | 상관없음 …]
👤 사용자: GAA33 — TANK-POWER (2개)
🤖 AI assistant [응답 👍] [선택지 👍]: ```json
{
 "responseText": "## 알루미늄 측면 가공용으로 TANK-POWER GAA33100을 추천드립니다.\n\n### [DB 데이터]\n\n**제품 스펙**\n- 제품코드: GAA33100\n- 브랜드: TANK-POWER\n- 시리즈: GAA33 (러핑 전용 시리즈)\n- 형상: Roughing (황삭 가공)\n- 직경: φ10mm\n- 날 수: 4날\n- 코팅: X-Coating\n- 적합 소재: K(주철), M(스테인리스), N(비철금속), P(탄소강)\n\n**매칭 근거 (91점 / 100점)**\n\n이 제품을 추천드리는 이유는 고객님의 가공 조건과 정확히 일치하기 때문입니다:\n\n1. **직경 완벽 일치** (40/40점): 요청하신 10mm와 제품 직경이 정확히 일치합니다.\n\n2. **소재 최적 매칭** (20/20점): 알루미늄은 N군(비철금속)에 해당하며, GAA33100은 N군 가공에 특화된 제품입니다. materialTags에 'N'이 명시되어 있어 알루미늄 가공에 최적화되어 있습니다.\n\n3. **날 수 일치** (15/15점): 고객님이 선택하신 4날 사양과 정확히 일치합니다. 4날 구조는 칩 배출이 원활하여 알루미늄 같은 연질 소재의 황삭 가공에 매우 효과적입니다.\n\n4. **가공 방식 적합** (8/15점): 요청하신 측면 가공(Side Milling)을 지원하며, 추가로 슬롯팅(Slotting), 금형 가공(Die-Sinking), 소형 부품 가공(Small Part), 평면 가공(Facing), 트로코이드 가공(Trochoidal)도 가능합니다.\n\n**Roughing(황삭) 형상의 특징**\n\nGAA33 시리즈는 날 표면에 불규칙한 홈(serration)이 있는 러핑 엔드밀로, 일반 엔드밀 대비 다음과 같은 장점이 있습니다:\n- 칩을 작게 분할하여 배출이 용이\n- 절삭 저항 감소로 공구 수명 연장\n- 가공 능률 향상 (황삭 단계에서 빠른 재료 제거)\n\n**재고 및 납기**\n- 재고 정보: 현재 확인되지 않습니다.\n- 납기 정보: 확인되지 않습니다.\n- 정확한 재고 및 납기는 본사(032-526-0909) 또는 온라인 주문 시스템(oos.yg1.solutions)에서 확인하실 수 있습니다.\n\n**절삭조건**\n- 현재 DB에서 이 제품의 권장 절삭조건(Vc, fz, ap, ae) 정보를 확인할 수 없습니다.\n- 구체적인 절삭조건은 카탈로그를 참조하시거나 기술지원팀(032-526-0909)에 문의하시기 바랍니다.\n\n---\n\n### [AI 보충 의견]\n\n**가공 적용 가이드**\n\n알루미늄 측면 가공에서 GAA33100이 특히 유용한 경우:\n\n1. **황삭 단계**: 많은 양의 재료를 빠르게 제거해야 할 때 러핑 엔드밀의 효율이 극대화됩니다. 일반 엔드밀 대비 20-30% 이상 가공 시간을 단축할 수 있습니다.\n\n2. **칩 배출 문제 해결**: 알루미늄은 가공 시 긴 칩이 생성되어 공구나 워크피스에 엉키는 문제가 있는데, 러핑 형상은 칩을 작게 분할하여 이 문제를 근본적으로 해결합니다.\n\n3. **고이송 가공**: 4날 구조와 러핑 형상의 조합으로 높은 이송 속도에서도 안정적인 가공이 가능합니다.\n\n4. **X-Coating의 역할**: 알루미늑 같은 연질 소재에서는 구성인선(Built-up Edge) 방지가 중요한데, X-Coating은 마찰계수를 낮춰 이를 억제합니다.\n\n**대안 제품 비교**\n\n
  [선택지: 상위 2개 비교 | GAA33100 상세 정보 | 다른 코팅 옵션 보기 | φ10mm 외 다른 직경 | Aluminum 가공 팁 보기 …]
👤 사용자: φ10mm 외 다른 직경
🤖 AI assistant [응답 👍] [선택지 👍]: 어떤 직경으로 변경하시겠어요?
  [선택지: 10mm (1개) | 12mm (1개) | 상관없음]</t>
  </si>
  <si>
    <t>🎯 의도: 알루미늄 Side Milling용 러핑 엔드밀 추천과 직경 변경
✅ 정답 행동: 사용자 조건에 맞는 10mm 알루미늄용 러핑 공구를 추천한 뒤, 추가로 원하는 직경을 바로 선택/비교할 수 있게 안내했어야 한다.
⚠️ 당시 문제: 특이사항 없음
💬 코멘트 분석: 최종 평가가 매우 좋아 현재 흐름과 추천이 적절했다는 의미</t>
  </si>
  <si>
    <t>tf-evt-mn8be1ob-dg10scb5</t>
  </si>
  <si>
    <t>RLH-0070</t>
  </si>
  <si>
    <t>알루미늄 밀링 2날 제품 추천 요청</t>
  </si>
  <si>
    <t>🧭 초기 조건: 문의 목적=신규 제품 추천 / 피삭재 (소재)=알루미늄 / 가공 방식=Milling
🤖 AI assistant [응답 👍] [선택지 👍]: 안녕하세요! 알루미늄 소재 밀링 가공을 위한 제품을 찾아드리겠습니다.
현재 조건으로 1,852개의 제품이 검색되었습니다. 더 정확한 추천을 위해 몇 가지 조건을 좁혀가겠습니다.
선택하신 소재는 ISO N (비철)군입니다. 세부 피삭재를 선택해주시겠습니까?
• 비철금속 (177개) - 알루미늄 외 구리, 황동 등 포함
• 알루미늄 (275개) - 순수 알루미늄 계열
• 알루미늄 합금 (98개) - A6061, A7075 등 합금 계열
• 상관없음 - 현재 조건 그대로 진행
어떤 피삭재로 좁혀드릴까요?
  [선택지: 비철금속 (177개) | 알루미늄 (275개) | 알루미늄 합금 (98개) | 상관없음 | 📋 지금 바로 제품 보기 (1852개) …]
👤 사용자: 알루미늄 (275개)
🤖 AI assistant [응답 👍] [선택지 👍]: 네, 알루미늄 가공용 제품이 현재 275개 있습니다.
알루미늄은 연질 소재로 절삭이 쉬운 편이지만, 칩 배출과 표면 품질 관리가 중요합니다. YG-1의 ALU-CUT 시리즈는 알루미늄 전용으로 설계되어 날당 이송량이 크고 칩 배출이 우수합니다.
현재 후보를 더 좁히기 위해 몇 가지 조건을 여쭤보겠습니다.
**날 수(Flute) 선호가 있으신가요?**
- 2날: 칩 배출 공간이 넓어 깊은 홈 가공이나 고속 가공에 유리
- 3날: 범용성이 좋고 표면 조도가 우수 (가장 많이 사용)
- 4날 이상: 마무리 가공이나 고경도 알루미늄 가공에 적합
선호하시는 날 수가 있으시면 말씀해주세요. 특별한 선호가 없으시면 "상관없음"을 선택하시거나, 바로 "지금 조건으로 추천보기"를 눌러주셔도 됩니다.
  [선택지: 3날 (177개) | 4날 (49개) | 2날 (49개) | 상관없음 | ⟵ 이전 단계 …]
👤 사용자: 3날 (177개)
🤖 AI assistant [응답 👍] [선택지 👍]: 공구 세부 타입이 중요한가요? Square (98개), Radius (79개), 상관없음 등이 있습니다.
  [선택지: Square (98개) | Radius (79개) | 상관없음 | ⟵ 이전 단계 | 📋 지금 바로 제품 보기 (177개) …]
👤 사용자: 3날 말고 2날로 변경
🤖 AI assistant [응답 👍] [선택지 👍]: 코팅 종류 선호가 있으신가요? 후보 중에 TiCN, X-Coating 등이 있습니다.
  [선택지: TiCN (29개) | X-Coating (20개) | 상관없음 | ⟵ 이전 단계 | 📋 지금 바로 제품 보기 (49개) …]</t>
  </si>
  <si>
    <t>🎯 의도: 알루미늄 밀링용 공구를 2날 조건으로 추천받고 싶음
✅ 정답 행동: 2날로 조건 변경을 반영해 알루미늄용 2날 후보를 바로 재검색해야 함. 이후 코팅/세부타입 등 다음 필수 조건을 이어서 묻거나, 조건이 충분하면 제품 리스트를 제시해야 함.
⚠️ 당시 문제: 특이사항 없음
💬 코멘트 분석: 코멘트 없음</t>
  </si>
  <si>
    <t>tf-evt-mn8bdfdv-n9kawrlz</t>
  </si>
  <si>
    <t>RLH-0071</t>
  </si>
  <si>
    <t>알루미늄 10mm 4날 엔드밀 추천 요청</t>
  </si>
  <si>
    <t>🧭 초기 조건: 문의 목적=신규 제품 추천 / 피삭재 (소재)=알루미늄 / 가공 형상=Side_Milling / 가공 방식=Milling / 공구 직경=10mm
🤖 AI assistant [응답 👍] [선택지 👍]: 선택하신 소재는 ISO N (비철)군입니다. 세부 피삭재를 선택해주세요.
  [선택지: 비철금속 (56개) | 알루미늄 (66개) | 알루미늄 합금 (10개) | 상관없음 | 📋 지금 바로 제품 보기 (424개) …]
👤 사용자: 알루미늄 (66개)
🤖 AI assistant [응답 👍] [선택지 👍]: 네, 알루미늄 가공용 10mm 엔드밀 66개 제품이 매칭되었습니다.
현재 후보를 더 좁혀드리기 위해 **공구 형상**을 확인하고 싶습니다.
알루미늄 측면 가공(Side Milling)에서는 형상에 따라 가공 특성이 달라집니다:
• **Square (스퀘어, 34개)**: 날끝이 직각으로 되어있어 바닥면과 측면을 동시에 가공할 때 유리합니다. 90도 코너 가공이나 홈 가공에 적합하며, 날끝 강성이 좋아 알루미늄처럼 연한 소재에서 안정적입니다.
• **Radius (라디우스, 32개)**: 날끝에 R 형상이 있어 공구 수명이 길고 표면조도가 우수합니다. 곡면 가공이나 3차원 가공에 유리하며, 날끝 응력 분산으로 치핑에 강합니다.
고객님의 가공에서 **직각 코너 가공이 필요하시면 Square**, **곡면이나 공구 수명 중시라면 Radius**를 추천드립니다.
어떤 형상을 선호하시나요? 아니면 형상 구분 없이 전체 후보에서 추천을 받아보시겠습니까?
  [선택지: Square (34개) | Radius (32개) | 상관없음 | ⟵ 이전 단계 | 📋 지금 바로 제품 보기 (66개) …]
👤 사용자: Square (34개)
🤖 AI assistant [응답 👍] [선택지 👍]: 네, 알루미늄 가공용 Square 엔드밀 34개 제품이 매칭되었습니다.
현재 후보 중에서 **날 수(flute)** 선호가 있으신가요?
- **2날**: 칩 배출이 우수해 깊은 홈 가공이나 부드러운 소재에 유리합니다
- **3날**: 알루미늄 가공에 가장 많이 사용되며, 가공 속도와 표면조도의 균형이 좋습니다 (현재 후보 중 다수)
- **4날**: 표면조도가 우수하고 공구 수명이 길어 마무리 가공에 적합합니다
알루미늄 Side Milling의 경우, **3날**이 칩 배출과 절삭 효율 면에서 가장 보편적으로 추천됩니다. 특별한 선호가 없으시면 3날 기준으로 추천을 진행하겠습니다.
날 수를 선택하시거나, "상관없음"을 선택하시면 전체 조건에서 최적 제품을 추천해드리겠습니다.
  [선택지: 3날 (24개) | 2날 (5개) | 4날 (5개) | 상관없음 | ⟵ 이전 단계 …]
👤 사용자: 4날 (5개)
🤖 AI assistant [응답 👍] [선택지 👍]: ```json
{
 "responseText": "알루미늄 측면 가공용으로 **CE7659 시리즈의 CE7659100**을 추천드립니다.\n\n### [DB 데이터]\n\n**제품 스펙**\n- 제품코드: CE7659100\n- 시리즈: CE7659 (GENERAL HSS END MILLS)\n- 형상: Square (스퀘어 엔드밀)\n- 직경: φ10mm\n- 날 수: 4날\n- 코팅: X-Coating\n- 적합 소재: N (비철금속), P (강)\n- 재고: 재고 있음\n\n**추천 근거**\n\n이 제품은 고객님의 요구 조건과 **96점(만점 100점)으로 정확히 일치**합니다.\n\n1. **직경 완전 일치**: 요청하신 10mm와 정확히 동일합니다 (40/40점)\n2. **소재 최적화**: 알루미늄은 N군(비철금속)에 속하며, 본 제품의 소재태그 N과 완벽히 매칭됩니다 (20/20점)\n3. **날 수 일치**: 4날 구성으로 요청 조건과 정확히 일치합니다 (15/15점)\n4. **가공 방식 적합**: Side Milling, Slotting, Die-Sinking, Small Part, Facing 등 다목적 가공이 가능하며, 요청하신 측면 밀링에 적합합니다 (8/15점)\n\n**절삭조건**\n현재 데이터베이스에 본 제품의 절삭조건 정보가 등록되어 있지 않습니다. 구체적인 절삭속도(Vc), 날당 이송(fz), 절입깊이(ap/ae) 정보가 필요하시면 본사 기술지원팀(032-526-0909)으로 문의하시기 바랍니다.\n\n**재고 및 납기**\n- 재고 상태: 재고 있음\n- 납기 정보: 데이터베이스에 등록된 정보 없음 (실시간 확인은 본사로 문의 필요)\n\n---\n\n### [AI 보충 의견]\n\n**CE7659 시리즈의 특징**\n\nCE7659는 범용 HSS(High Speed Steel) 엔드밀 시리즈로, X-Coating이 적용되어 내마모성과 윤활성이 향상된 제품입니다. 알루미늄과 같은 비철금속 가공 시 칩 배출이 원활하고, 4날 구성으로 가공 효율과 표면 조도를 균형있게 확보할 수 있습니다.\n\n**가공 적용 팁**\n- 알루미늄은 연성이 높아 칩이 공구에 달라붙는 경향이 있으므로, 충분한 절삭유 공급과 높은 이송속도(feed rate) 설정을 권장합니다.\n- 측면 밀링 시 절입깊이(ae)를 직경의 40-50% 이내로 유지하면 공구 수명과 가공 정밀도를 모두 확보할 수 있습니다.\n- X-Coating은 열전도율이 높은 알루미늄 가공 시 마찰열을 감소시켜 용착(built-up edge) 발생을 억제합니다.\n\n**대안 제품 비교**\n\n현재 필터 조건(알루미늄/Square/4날)에서 총 5개 제품이 검색되었으며, 모두 동일한 CE7659 시리즈입니다. 직경만 다르므로 대안 제품은 다음과 같습니다:\n\n- **CE7659110** (φ11mm, 68점): 직경이 1mm 크며, 가공 범위를 약간 넓히고 싶을 때 적합\n- **CE7659090** (φ9mm, 68점): 직경이 1mm 작으며, 좁은 홈이나 세밀한 가공이 필요할 때 유리\n- **CE7659120** (φ12mm, 56점): 직경이 2mm 크며, 더 넓은 면적을 빠르게 가공할 때 사용\n- **CE7659908** (φ8mm, 56점): 직경이 2mm 작으며, 좁은 공간이나 정밀 가공에 적합\n\n**직경 10mm가 정확히 필요하시다면 1순위 CE7659100이 최선의 선택**입니다. 만약 직경에 약간의 여유가 있다면, 위 대안들도 동일한 스펙(4날/X-Coating/N군)을 공유하므로 가공
  [선택지: 상위 3개 비교 | CE7659100 상세 정보 | 다른 코팅 옵션 보기 | φ10mm 외 다른 직경 | Aluminum 가공 팁 보기 …]</t>
  </si>
  <si>
    <t>🎯 의도: 알루미늄 Side Milling용 10mm 4날 공구 추천
✅ 정답 행동: 사용자 조건(알루미늄/Side Milling/10mm/Square/4날)에 맞는 후보를 정확히 추천하고, 재고·코팅·적용 가공 정보를 간단히 함께 안내했어야 함.
⚠️ 당시 문제: 특이사항 없음
💬 코멘트 분석: 코멘트 없음</t>
  </si>
  <si>
    <t>tf-evt-mn8dnkn7-hp7t570d</t>
  </si>
  <si>
    <t>RLH-0072</t>
  </si>
  <si>
    <t>10mm 알루미늄 Side Milling 3날 제품 추천</t>
  </si>
  <si>
    <t>🧭 초기 조건: 문의 목적=신규 제품 추천 / 피삭재 (소재)=알루미늄 / 가공 형상=Side_Milling / 가공 방식=Milling / 공구 직경=10mm
🤖 AI assistant [응답 👍] [선택지 👍]: 선택하신 소재는 ISO N (비철)군입니다. 세부 피삭재를 선택해주세요.
  [선택지: 비철금속 (56개) | 알루미늄 (66개) | 알루미늄 합금 (10개) | 상관없음 | 📋 지금 바로 제품 보기 (424개) …]
👤 사용자: 알루미늄 (66개)
🤖 AI assistant [응답 👍] [선택지 👍]: 네, 알루미늄 가공용 10mm 엔드밀 66개 제품이 매칭되었습니다.
현재 후보를 더 좁혀드리기 위해 **공구 형상**을 확인하고 싶습니다.
알루미늄 측면 가공(Side Milling)에서는 형상에 따라 가공 특성이 달라집니다:
• **Square (스퀘어, 34개)**: 날끝이 직각으로 되어있어 바닥면과 측면을 동시에 가공할 때 유리합니다. 90도 코너 가공이나 홈 가공에 적합하며, 날끝 강성이 좋아 알루미늄처럼 연한 소재에서 안정적입니다.
• **Radius (라디우스, 32개)**: 날끝에 R 형상이 있어 공구 수명이 길고 표면조도가 우수합니다. 곡면 가공이나 3차원 가공에 유리하며, 날끝 응력 분산으로 치핑에 강합니다.
고객님의 가공에서 **직각 코너 가공이 필요하시면 Square**, **곡면이나 공구 수명 중시라면 Radius**를 추천드립니다.
어떤 형상을 선호하시나요? 아니면 형상 구분 없이 전체 후보에서 추천을 받아보시겠습니까?
  [선택지: Square (34개) | Radius (32개) | 상관없음 | ⟵ 이전 단계 | 📋 지금 바로 제품 보기 (66개) …]
👤 사용자: Square (34개)
🤖 AI assistant [응답 👍] [선택지 👍]: 네, 알루미늄 가공용 Square 엔드밀 34개 제품이 매칭되었습니다.
현재 후보 중에서 **날 수(flute)** 선호가 있으신가요?
- **2날**: 칩 배출이 우수해 깊은 홈 가공이나 부드러운 소재에 유리합니다
- **3날**: 알루미늄 가공에 가장 많이 사용되며, 가공 속도와 표면조도의 균형이 좋습니다 (현재 후보 중 다수)
- **4날**: 표면조도가 우수하고 공구 수명이 길어 마무리 가공에 적합합니다
알루미늄 Side Milling의 경우, **3날**이 칩 배출과 절삭 효율 면에서 가장 보편적으로 추천됩니다. 특별한 선호가 없으시면 3날 기준으로 추천을 진행하겠습니다.
날 수를 선택하시거나, "상관없음"을 선택하시면 전체 조건에서 최적 제품을 추천해드리겠습니다.
  [선택지: 3날 (24개) | 2날 (5개) | 4날 (5개) | 상관없음 | ⟵ 이전 단계 …]
👤 사용자: 4날 (5개)
🤖 AI assistant [응답 👍] [선택지 👍]: ```json
{
 "responseText": "알루미늄 측면 가공용으로 **CE7659 시리즈의 CE7659100**을 추천드립니다.\n\n### [DB 데이터]\n\n**제품 스펙**\n- 제품코드: CE7659100\n- 시리즈: CE7659 (GENERAL HSS END MILLS)\n- 형상: Square (스퀘어 엔드밀)\n- 직경: φ10mm\n- 날 수: 4날\n- 코팅: X-Coating\n- 적합 소재: N (비철금속), P (강)\n- 재고: 재고 있음\n\n**추천 근거**\n\n이 제품은 고객님의 요구 조건과 **96점(만점 100점)으로 정확히 일치**합니다.\n\n1. **직경 완전 일치**: 요청하신 10mm와 정확히 동일합니다 (40/40점)\n2. **소재 최적화**: 알루미늄은 N군(비철금속)에 속하며, 본 제품의 소재태그 N과 완벽히 매칭됩니다 (20/20점)\n3. **날 수 일치**: 4날 구성으로 요청 조건과 정확히 일치합니다 (15/15점)\n4. **가공 방식 적합**: Side Milling, Slotting, Die-Sinking, Small Part, Facing 등 다목적 가공이 가능하며, 요청하신 측면 밀링에 적합합니다 (8/15점)\n\n**절삭조건**\n현재 데이터베이스에 본 제품의 절삭조건 정보가 등록되어 있지 않습니다. 구체적인 절삭속도(Vc), 날당 이송(fz), 절입깊이(ap/ae) 정보가 필요하시면 본사 기술지원팀(032-526-0909)으로 문의하시기 바랍니다.\n\n**재고 및 납기**\n- 재고 상태: 재고 있음\n- 납기 정보: 데이터베이스에 등록된 정보 없음 (실시간 확인은 본사로 문의 필요)\n\n---\n\n### [AI 보충 의견]\n\n**CE7659 시리즈의 특징**\n\nCE7659는 범용 HSS(High Speed Steel) 엔드밀 시리즈로, X-Coating이 적용되어 내마모성과 윤활성이 향상된 제품입니다. 알루미늄과 같은 비철금속 가공 시 칩 배출이 원활하고, 4날 구성으로 가공 효율과 표면 조도를 균형있게 확보할 수 있습니다.\n\n**가공 적용 팁**\n- 알루미늄은 연성이 높아 칩이 공구에 달라붙는 경향이 있으므로, 충분한 절삭유 공급과 높은 이송속도(feed rate) 설정을 권장합니다.\n- 측면 밀링 시 절입깊이(ae)를 직경의 40-50% 이내로 유지하면 공구 수명과 가공 정밀도를 모두 확보할 수 있습니다.\n- X-Coating은 열전도율이 높은 알루미늄 가공 시 마찰열을 감소시켜 용착(built-up edge) 발생을 억제합니다.\n\n**대안 제품 비교**\n\n현재 필터 조건(알루미늄/Square/4날)에서 총 5개 제품이 검색되었으며, 모두 동일한 CE7659 시리즈입니다. 직경만 다르므로 대안 제품은 다음과 같습니다:\n\n- **CE7659110** (φ11mm, 68점): 직경이 1mm 크며, 가공 범위를 약간 넓히고 싶을 때 적합\n- **CE7659090** (φ9mm, 68점): 직경이 1mm 작으며, 좁은 홈이나 세밀한 가공이 필요할 때 유리\n- **CE7659120** (φ12mm, 56점): 직경이 2mm 크며, 더 넓은 면적을 빠르게 가공할 때 사용\n- **CE7659908** (φ8mm, 56점): 직경이 2mm 작으며, 좁은 공간이나 정밀 가공에 적합\n\n**직경 10mm가 정확히 필요하시다면 1순위 CE7659100이 최선의 선택**입니다. 만약 직경에 약간의 여유가 있다면, 위 대안들도 동일한 스펙(4날/X-Coating/N군)을 공유하므로 가공
  [선택지: 상위 3개 비교 | CE7659100 상세 정보 | 다른 코팅 옵션 보기 | φ10mm 외 다른 직경 | Aluminum 가공 팁 보기 …]
👤 사용자: 날수: 4날 -&gt; 3날로
🤖 AI assistant [응답 👍] [선택지 👍]: 알루미늄 측면 가공용으로 **3날 스퀘어 엔드밀**로 변경해드렸습니다.
### 추천 제품
**CE7659130** (CE7659 시리즈)
- 직경: 10mm
- 날 수: 3날
- 형상: Square
- 추천점: 4날 대비 칩 배출성이 더욱 우수하며, 알루미늄 같은 부드러운 소재에서 가공면 품질이 개선됩니다.
3날 제품은 총 8개가 매칭되었습니다. 다른 제품 비교나 코팅 종류(일반/TiAlN/DLC 등)로 추가 필터링이 필요하신가요?
  [선택지: CE7659130 상세 스펙 | 3날 제품 비교하기 | 코팅 종류별로 보기 | 직경 변경 | 이전 선택으로 돌아가기]</t>
  </si>
  <si>
    <t>🎯 의도: 알루미늄 측면가공용 10mm 엔드밀을 조건에 맞게 추천받기
✅ 정답 행동: 알루미늄/Side Milling/10mm 조건에서 선택된 날수까지 반영해 3날 스퀘어 제품을 정확히 추천하고, 매칭 근거와 대안 비교 선택지를 제시했어야 함.
⚠️ 당시 문제: 특이사항 없음
💬 코멘트 분석: 최종 평가가 매우 좋았고, 응답과 선택지 모두 만족했다는 의미임</t>
  </si>
  <si>
    <t>tf-evt-mn8doodh-zlmc5sjd</t>
  </si>
  <si>
    <t>RLH-0073</t>
  </si>
  <si>
    <t>φ8mm 볼엔드밀 3날, 재고조건 재검색</t>
  </si>
  <si>
    <t>🧭 초기 조건: 🧭 문의 목적=신규 제품 추천 / 🛠️ 가공 방식=Milling / 공구 직경=8mm
🤖 AI assistant: 안녕하세요, YG-1 절삭공구 추천 어시스턴트입니다.
입력하신 조건을 확인했습니다: 밀링 가공, 직경 8mm 근처 제품을 찾고 계시네요. 현재 약 10,325개의 후보 제품이 있습니다.
최적의 제품을 추천해드리기 위해 몇 가지 조건을 확인하겠습니다.
먼저, 직경 8mm 근처에 여러 규격이 있습니다. 정확히 어떤 직경이 필요하신가요?
- 8mm (표준)
- 8.03mm
- 7.95mm
- 7.94mm
- 7.938mm
위 중에서 선택해주시거나, 정확한 직경을 알려주시면 됩니다.
  [선택지: 8mm | 8.03mm | 7.95mm | 7.94mm | 7.938mm …]
👤 사용자: 8.03mm
🤖 AI assistant: "8.03mm" 조건을 적용하면 후보가 없습니다. 현재 10325개 후보에서 다른 조건을 선택해주세요.
  [선택지: 8mm | 8.03mm | 7.95mm | 7.94mm | 7.938mm …]
👤 사용자: 7.95mm
🤖 AI assistant [응답 👎] [선택지 👎]: "7.95mm" 조건을 적용하면 후보가 없습니다. 현재 10325개 후보에서 다른 조건을 선택해주세요.
  [선택지: 8mm | 8.03mm | 7.95mm | 7.94mm | 7.938mm …]
👤 사용자: 7.938mm
🤖 AI assistant: "7.938mm" 조건을 적용하면 후보가 없습니다. 현재 10325개 후보에서 다른 조건을 선택해주세요.
  [선택지: 8mm | 8.03mm | 7.95mm | 7.94mm | 7.938mm …]
👤 사용자: 상관없어 ㅠㅠ
🤖 AI assistant: 공구 세부 타입이 중요한가요? Square (2243개), Radius (1367개), Spiral Flute (716개) 등이 있습니다.
  [선택지: Square (2243개) | Radius (1367개) | Spiral Flute (716개) | Ball (612개) | 상관없음 …]
👤 사용자: Ball (612개)
🤖 AI assistant: Ball 형상으로 선택하셨습니다. 현재 613개의 Ball 엔드밀 제품이 있습니다.
다음 단계로 **날 수(flute)** 선호를 여쭤보겠습니다. Ball 엔드밀의 경우 날 수에 따라 다음과 같은 특성 차이가 있습니다:
**[날 수별 특성]**
- **2날**: 칩 배출이 우수하여 깊은 홈 가공이나 알루미늄 같은 연질 소재에 적합합니다. 절삭 저항이 낮아 고속 가공에 유리합니다.
- **4날**: 면조도가 우수하고 공구 수명이 길어 정밀 마무리 가공이나 경화강 같은 고경도 소재에 적합합니다. 생산성이 높습니다.
- **6날 이상**: 극도의 정밀 마무리가 필요한 금형 가공에 사용되며, 면조도가 매우 우수합니다.
현재 후보 제품 분포:
- 2날: 약 400개
- 4날: 약 200개
- 6날: 약 10개
**어떤 날 수를 선호하시나요?** 또는 "상관없음"을 선택하시면 다른 조건이 필요하시면 말씀해주세요 좁혀드리겠습니다.
  [선택지: 2날 (468개) | 4날 (67개) | 3날 (60개) | 상관없음 | ⟵ 이전 단계 …]
👤 사용자: 3날 (60개)
🤖 AI assistant: 이 조건이면 G8A59080 (G8A59)를 먼저 보시면 됩니다. Ball 형상, 3날, φ8mm 기준에 잘 맞고, 코팅은 Blue-Coating으로 H군, P군 소재 대응 범위를 확인할 수 있습니다. 재고 81개 (즉시 출하). 납기 정보 없음.
  [선택지: 코팅으로 좁히기 (Blue-Coating/Diamond/TiCN) | 상위 3개 비교 | G8A59080 상세 정보 | 시리즈 차이 설명해줘 (G8A59 vs EI881) | φ8mm 외 다른 직경 …]
👤 사용자: 재고 없는 것만 보여줘
🤖 AI assistant: "limited" 조건을 적용하면 후보가 없습니다. 현재 60개 후보에서 다른 조건을 선택해주세요.
  [선택지: ⟵ 이전 단계 | 처음부터 다시 | 📋 지금 바로 제품 보기 (60개) | ✨ AI 상세 분석]
👤 사용자: 재고 미확인만 보여줘
🤖 AI assistant: "unknown" 조건을 적용하면 후보가 없습니다. 현재 60개 후보에서 다른 조건을 선택해주세요.
  [선택지: ⟵ 이전 단계 | 처음부터 다시 | 📋 지금 바로 제품 보기 (60개) | ✨ AI 상세 분석]
👤 사용자: 재고 100개 이상만
🤖 AI assistant: 현재 Ball 형상, 3날, φ8mm 조건의 후보 제품 중 재고 100개 이상인 제품은 확인되지 않습니다. 상위 추천 제품인 G8A59080의 재고가 81개로 가장 많은 편이었습니다.
재고 기준을 조금 낮추시거나, 날수·직경 등 다른 조건을 변경하시면 더 많은 후보를 확인하실 수 있습니다.
  [선택지: 직경 변경해서 재검색]
👤 사용자: 위 중에서 선택해주시거나, 정확한 직경을 알려주시면 됩니다.
8mm
8.03mm
7.95mm
7.94mm
7.938mm
평가
응답: 😐
선택지: 😐
나
8.03mm
"8.03mm" 조건을 적용하면 후보가 없습니다. 현재 10325개 후보에서 다른 조건을 선택해주세요.
8mm
8.03mm
7.95mm
7.94mm
7.938mm
평가
응답: 😐
선택지: 😐
나
7.95mm
"7.95mm" 조건을 적용하면 후보가 없습니다. 현재 10325개 후보에서 다른 조건을 선택해주세요.
8mm
8.03mm
7.95mm
7.94mm
7.938mm
평가
응답: 👎
선택지: 👎
나
7.938mm
"7.938mm" 조건을 적용하면 후보가 없습니다. 현재 10325개 후보에서 다른 조건을 선택해주세요.
8mm
8.03mm
7.95mm
7.94mm
7.938mm
평가
응답: 😐
선택지: 😐
나
상관없어 ㅠㅠ
공구 세부 타입이 중요한가요? Square (2243개), Radius (1367개), Spiral Flute (716개) 등이 있습니다.
Square (2243개)
Radius (1367개)
Spiral Flute (716개)
Ball (612개)
상관없음
⟵ 이전 단계
평가
응답: 😐
선택지: 😐
나
Ball (612개)
Ball 형상으로 선택하셨습니다. 현재 613개의 Ball 엔드밀 제품이 있습니다.
다음 단계로 날 수(flute) 선호를 여쭤보겠습니다. Ball 엔드밀의 경우 날 수에 따라 다음과 같은 특성 차이가 있습니다:
[날 수별 특성]
2날: 칩 배출이 우수하여 깊은 홈 가공이나 알루미늄 같은 연질 소재에 적합합니다. 절삭 저항이 낮아 고속 가공에 유리합니다.
4날: 면조도가 우수하고 공구 수명이 길어 정밀 마무리 가공이나 경화강 같은 고경도 소재에 적합합니다. 생산성이 높습니다.
6날 이상: 극도의 정밀 마무리가 필요한 금형 가공에 사용되며, 면조도가 매우 우수합니다.
현재 후보 제품 분포:
2날: 약 400개
4날: 약 200개
6날: 약 10개
어떤 날 수를 선호하시나요? 또는 "상관없음"을 선택하시면 다른 조건이 필요하시면 말씀해주세요 좁혀드리겠습니다.
2날 (468개)
4날 (67개)
3날 (60개)
상관없음
⟵ 이전 단계
평가
응답: 😐
선택지: 😐
나
3날 (60개)
이 조건이면 G8A59080 (G8A59)를 먼저 보시면 됩니다. Ball 형상, 3날, φ8mm 기준에 잘 맞고, 코팅은 Blue-Coating으로 H군, P군 소재 대응 범위를 확인할 수 있습니다. 재고 81개 (즉시 출하). 납기 정보 없음.
코팅으로 좁히기 (Blue-Coating/Diamond/TiCN)
상위 3개 비교
G8A59080 상세 정보
시리즈 차이 설명해줘 (G8A59 vs EI881)
φ8mm 외 다른 직경
⟵ 이전 단계로 돌아가기
정확 매칭
60개 후보 검색
납기 정보 없음
소재 미지정 — 전체 소재 검색 결과
가공 방식 미지정 — 전체 가공 유형 검색 결과
소재 미지정 — 전체 소재 대상 검색
왜 이 제품인가?
(96% 일치)
직경, 날 수 일치 (2개 조건) | 매칭률 96%
Fact Check
부분확인
(76%)
76%
근거 자료
카탈로그
raw_catalog.prod_edp 카탈로그 데이터 (신뢰도: medium)
재고
재고 정보 1건 (instock)
추천 제품
G8A59
#1
정확 매칭
재고 있음
(81)
G8A59080
X5070
G8A59
형상 Ball · Carbide · Shank 8mm · CL 14mm · OAL 100mm · 30°
H/P군
X5070 3 Flute 30°Helix Long Ball End mill
공구 타입
Ball
공구 재질
Carbide
생크 직경
8mm
날장 길이
14mm
전체 길이
100mm
헬릭스각
30°
▶ Designed to machine high hardened materials.
▶ Suitable for dry cutting, high speed cutting thanks to newly developed raw
-material and new coating.
▶ Excellent workpiece finish.
▶ Designed for high precision milling operation.
▶ Higher wear
-resistance.
적용 소재
H군
P군
재고 정보
전체 지역 합산 재고 81개
기준일: Wed Mar 18
GLC-Export 81개
매칭 근거
직경 8mm 일치
3날 일치
형상 Ball 일치
카탈로그
X5070 S
KO
추천 근거 (xAI)
96/100pt (96%)
📏
직경
40/40
φ8mm 정확 일치
🔩
날수
15/15
3날 일치
🧱
소재
10/20
소재 미지정 (기본 50%)
⚙️
가공
8/15
세부 가공형상 미지정 (분류: Milling)
🔧
공구형상
15/15
Ball 선택과 일치
🛡️
코팅
3/5
코팅 미지정 (기본 50%)
📋
완성도
5/5
데이터 완성도 100%
📊
절삭조건
0/10
증거 미매칭 (maxScore 제외)
직경, 날수, 공구형상 적합도 조건은 정확히 일치합니다. 소재, 가공방식, 코팅은(는) 부분적으로 일치합니다. 절삭조건 근거 정보는 확인되지 않았습니다. 전반적으로 요청 조건에 매우 적합한 제품입니다.
YG-1 제품 DB 기반 자동 평가 · 추정값 없음
대체 후보 (9)
EI881
#2
정확 매칭
재고 있음
(31)
EI881080
D-POWER GRAPHITE
EI881
형상 Ball · Carbide · Shank 8mm · CL 12mm · OAL 75mm · 30°
N군
D-POWER 3 Flute 30°Helix Short Ball End mill With Neck
EG908
#3
정확 매칭
재고 미확인
EG908080
ALU-POWER
EG908
형상 Ball · Carbide · Shank 8mm · CL 12mm · OAL 75mm · 40°
N군
ALU-POWER 3 Flute 40°Helix Ball End mill (TiCN)
E5908
#4
정확 매칭
재고 있음
(394)
E5908080
ALU-POWER
E5908
형상 Ball · Carbide · Shank 8mm · CL 12mm · OAL 25mm · 40°
N군
ALU-POWER 3 Flute 40°Helix Ball End mill
SEME59
#5
정확 매칭
재고 미확인
SEME59080
4G MILL
SEME59
형상 Ball · Carbide · 30°
H/K/P군
4G MILL 3 Flute 30°Helix Helix Ball End mill
G8A59
#6
근사 후보
재고 있음
(131)
G8A59100
X5070
G8A59
형상 Ball · Carbide · Shank 10mm · CL 18mm · OAL 100mm · 30°
H/P군
X5070 3 Flute 30°Helix Long Ball End mill
G8A59
#7
근사 후보
재고 있음
(218)
G8A59060
X5070
G8A59
형상 Ball · Carbide · Shank 6mm · CL 12mm · OAL 90mm · 30°
H/P군
X5070 3 Flute 30°Helix Long Ball End mill 인데 ㅠㅠ
🤖 AI assistant [응답 👍] [선택지 👍]: # YG-1 절삭공구 비교 분석
## 📊 제품 상세 비교표
| 항목 | #1 G8A59080 | #2 EI881080 | #3 EG908080 | #4 E5908080 | #5 SEME59080 | #6 G8A59100 | #7 G8A59060 |
|------|-------------|-------------|-------------|-------------|--------------|-------------|-------------|
| **제품코드** | G8A59080 | EI881080 | EG908080 | E5908080 | SEME59080 | G8A59100 | G8A59060 |
| **브랜드** | X5070 | D-POWER GRAPHITE | ALU-POWER | ALU-POWER | 4G MILL | X5070 | X5070 |
| **형상** | Ball | Ball | Ball | Ball | Ball | Ball | Ball |
| **직경** | 8mm | 8mm | 8mm | 8mm | 8mm | 10mm | 6mm |
| **날수** | 3 | 3 | 3 | 3 | 3 | 3 | 3 |
| **코팅** | Blue-Coating | Diamond | TiCN | UNCOATED | Y-Coating | Blue-Coating | Blue-Coating |
| **재질** | Carbide | Carbide | Carbide | Carbide | Carbide | Carbide | Carbide |
| **생크직경** | 8mm | 8mm | 8mm | 8mm | - | 10mm | 6mm |
| **날길이(LOC)** | 14mm | 12mm | 12mm | 12mm | - | 18mm | 12mm |
| **전체길이(OAL)** | 100mm | 75mm | 75mm | 25mm | - | 100mm | 90mm |
| **헬릭스각** | 30° | 30° | 40° | 40° | 30° | 30° | 30° |
| **소재 적합성** | H, P | N | N | N | H, K, P | H, P | H, P |
| **재고** | 81 | 31 | 미확인 | 394 | 미확인 | 131 | 218 |
---
## 🔍 제품별 강점 및 특징
### #1 G8A59080 (X5070)
**강점:** 롱넥 타입(OAL 100mm)으로 깊은 가공에 유리, 30° 헬릭스로 안정적 절삭, H/P 소재(경화강/탄소강) 가공 최적화
**약점:** LOC 14mm로 중간 길이, 범용성은 있으나 특화 성능은 다소 제한적
### #2 EI881080 (D-POWER GRAPHITE)
**강점:** 다이아몬드 코팅으로 흑연/비철금속(N) 전용 설계, 내마모성 탁월, 고속 가공 가능
**약점:** 재고 31개로 상대적으로 적음, 비철금속 외 소재에는 비추천
### #3 EG908080 (ALU-POWER)
**강점:** 40° 고헬릭스로 알루미늄 절삭 효율 극대화, TiCN 코팅으로 내열성 향상
**약점:** 재고 미확인으로 즉시 수급 불확실, 비철금속 전용으로 용도 한정
### #4 E5908080 (ALU-POWER)
**강점:** 무코팅으로 경제적, 재고 394개로 수급 안정성 최고, OAL 25mm 초단형으로 고강성 가공 가능
**약점:** 날길이 짧아 깊은 가공 불가, 코팅 없어 공구수명 상대적으로 짧음
### #5 SEME59080 (4G MILL)
**강점:** Y-Coating으로 범용성 우수, H/K/P 소재(경화강/주철/탄소강) 폭넓게 대응
**약점:** 주요 치수 정보 미제공("-")으로 정확한 사양 확인 필요, 재고 미확인
### #6 G8A59100 (X5070)
**강점:** Ø10mm로 대형 가공 가능, LOC 18mm로 깊은 절입 지원, 재고 131개 양호
**약점:** 직경 차이로 기존 8mm 공정과 호환 불가, 절삭 부하 증가
### #7 G8A59060 (X5070)
**강점:** Ø6mm 소형 가공 전용, 재고 218개로 안정적 공급, 정밀 가공에 유리
**약점:** 직경이 작아 가공 시간 증가, 강성 부족으로 진동 발생 가능성
---
## ✅ 추천 의견 및 선택 가이드
### **일반 철강/경화강 가공 (H, P 소재)**
- **1순위:** #1 G8A59080 - 표준 직
  [선택지: 추천해주세요 | 다른 조건으로 | ⟵ 이전 단계 | 처음부터 다시]</t>
  </si>
  <si>
    <t>🎯 의도: φ8mm Ball 엔드밀에서 재고 조건을 맞춰 제품을 찾기
✅ 정답 행동: 재고 100개 이상 조건에서 후보가 없음을 명확히 안내하고, 재고 조건 완화 또는 다른 조건(직경/날수/코팅) 변경을 제안했어야 함.
⚠️ 당시 문제: 재고 100개 이상 제품이 없는데도 직전 추천의 재고 수치와 혼선이 있어 탐색이 끊김
💬 코멘트 분석: “인데 ㅠㅠ”는 추천 결과가 조건/재고 기준에 맞지 않아 답답하다는 불만임</t>
  </si>
  <si>
    <t>최종 평가: 👍 / 응답: 👍1 👎1 총 11개 응답 / 선택지: 👍1 👎1</t>
  </si>
  <si>
    <t>tf-evt-mnhmrhcx-eorzrmj3</t>
  </si>
  <si>
    <t>RLH-0074</t>
  </si>
  <si>
    <t>무코팅 대신 다른 코팅으로 바꾸려 함</t>
  </si>
  <si>
    <t>🧭 초기 조건: 🧭 문의 목적=신규 제품 추천 / 🛠️ 가공 방식=Milling / 공구 직경=10mm / 🌐 국가=전체 국가 (ALL)
🤖 AI assistant: 공구 세부 타입이 중요한가요? Square (2070개), Radius (1502개), Spiral Flute (723개) 등이 있습니다.
  [선택지: Square (2070개) | Radius (1502개) | Spiral Flute (723개) | Ball (559개) | 상관없음 …]
👤 사용자: Ball (559개)
🤖 AI assistant [응답 👍] [선택지 👍]: 네, Ball 형상으로 범위를 좁혀드렸습니다. 현재 직경 10mm Ball 엔드밀이 561개 있습니다.
다음 단계로 **날 수(날개 수)**를 선택하시면 더 정확한 추천이 가능합니다.
현재 후보 분포를 보면:
- **2날(2 Flute)**: 가장 많은 옵션 보유 — 칩 배출이 원활하고 깊은 홈 가공에 유리
- **4날(4 Flute)**: 생산성 중시 — 이송 속도를 높일 수 있어 평면/얕은 가공에 적합
- **6날 이상**: 고경도 소재나 정밀 다듬질용
**어떤 날 수를 선호하시나요?** 아니면 "상관없음"을 선택하시면 제가 가장 범용적인 옵션으로 바로 추천해드리겠습니다.
  [선택지: 2날 (442개) | 4날 (69개) | 3날 (17개) | 상관없음 | ⟵ 이전 단계 …]
👤 사용자: 3날 (17개)
🤖 AI assistant: 네, 3날 조건으로 17개 제품이 남았습니다.
현재 후보 중에는 다양한 코팅 옵션이 있습니다:
- **Y-Coating** (2개): 범용 고경도 코팅으로 경화강·합금강·주강에 적합합니다
- **Blue-Coating** (3개): 고경도 내마모 코팅으로 금형강·경화강 가공에 특화되어 있습니다
- **Diamond** (3개): 흑연/탄소섬유 가공 전용 다이아몬드 코팅입니다
- **TiCN / Bright Finish** (4개): 알루미늄 전용 저마찰 코팅입니다
가공하실 소재에 따라 코팅을 선택하시면 더 정확한 추천이 가능합니다. 어떤 코팅으로 좁혀볼까요?
소재를 모르신다면 **범용성이 높은 Y-Coating**이나 **경화강에 강한 Blue-Coating**을 추천드립니다.
  [선택지: Y-Coating (5개) | Blue-Coating (3개) | Diamond — 비철·고경도 (3개) | TiCN — 비철·플라스틱 (3개) | Uncoated — 무코팅 (2개) …]
👤 사용자: Uncoated — 무코팅 (2개)
🤖 AI assistant: 이 조건이면 E5908100 (E5908)를 먼저 보시면 됩니다. Ball 형상, 3날, φ10mm 기준에 잘 맞고, 코팅은 UNCOATED으로 N군 소재 대응 범위를 확인할 수 있습니다. 재고 10개 (소량). 납기 정보 없음.
  [선택지: 상위 3개 비교 | E5908100 상세 정보 | 다른 코팅 옵션 보기 | φ10mm 외 다른 직경 | ⟵ 이전 단계로 돌아가기 …]
👤 사용자: 코팅 무코팅 말고 다른거로 바꾸고싶어요
🤖 AI assistant [응답 👍] [선택지 👍]: 이 조건이면 E5908100 (E5908)를 먼저 보시면 됩니다. Ball 형상, 3날, φ10mm 기준에 잘 맞고, 코팅은 UNCOATED으로 N군 소재 대응 범위를 확인할 수 있습니다. 재고 10개 (소량). 납기 정보 없음.
  [선택지: 상위 3개 비교 | E5908100 상세 정보 | 다른 코팅 옵션 보기 | 시리즈 차이 설명해줘 (E5908 vs E5E51) | φ10mm 외 다른 직경 …]</t>
  </si>
  <si>
    <t>🎯 의도: 현재 추천에서 무코팅을 제외하고 다른 코팅 옵션으로 재추천받기
✅ 정답 행동: 무코팅 조건을 해제하고, 남은 코팅 후보들(Y-Coating, Blue-Coating 등)로 다시 필터링해 추천해야 함. 이전 무코팅 추천(E5908100)을 그대로 반복하지 말고, 사용자의 변경 요청을 반영해 새 후보를 제시해야 함.
⚠️ 당시 문제: 사용자가 코팅을 바꾸고 싶다고 했는데도 무코팅 추천을 그대로 재출력함
💬 코멘트 분석: 무코팅 말고 다른 코팅으로 변경해서 보고 싶다는 요구 핵심</t>
  </si>
  <si>
    <t>최종 평가: 👍 / 응답: 👍2 총 5개 응답 / 선택지: 👍2</t>
  </si>
  <si>
    <t>tf-evt-mnizu20d-3ixdprhm</t>
  </si>
  <si>
    <t>RLH-0075</t>
  </si>
  <si>
    <t>φ10 Ball 3날에 코팅·OAL 조건 추가 요청</t>
  </si>
  <si>
    <t>🧭 초기 조건: 🧭 문의 목적=신규 제품 추천 / 🛠️ 가공 방식=Milling / 공구 직경=10mm / 🌐 국가=전체 국가 (ALL)
🤖 AI assistant: 공구 세부 타입이 중요한가요? Square (2070개), Radius (1502개), Spiral Flute (723개) 등이 있습니다.
  [선택지: Square (2070개) | Radius (1502개) | Spiral Flute (723개) | Ball (559개) | 상관없음 …]
👤 사용자: Ball (559개)
🤖 AI assistant [응답 👍] [선택지 👍]: 네, Ball 형상으로 범위를 좁혀드렸습니다. 현재 직경 10mm Ball 엔드밀이 561개 있습니다.
다음 단계로 **날 수(날개 수)**를 선택하시면 더 정확한 추천이 가능합니다.
현재 후보 분포를 보면:
- **2날(2 Flute)**: 가장 많은 옵션 보유 — 칩 배출이 원활하고 깊은 홈 가공에 유리
- **4날(4 Flute)**: 생산성 중시 — 이송 속도를 높일 수 있어 평면/얕은 가공에 적합
- **6날 이상**: 고경도 소재나 정밀 다듬질용
**어떤 날 수를 선호하시나요?** 아니면 "상관없음"을 선택하시면 제가 가장 범용적인 옵션으로 바로 추천해드리겠습니다.
  [선택지: 2날 (442개) | 4날 (69개) | 3날 (17개) | 상관없음 | ⟵ 이전 단계 …]
👤 사용자: 3날 (17개)
🤖 AI assistant: 네, 3날 조건으로 17개 제품이 남았습니다.
현재 후보 중에는 다양한 코팅 옵션이 있습니다:
- **Y-Coating** (2개): 범용 고경도 코팅으로 경화강·합금강·주강에 적합합니다
- **Blue-Coating** (3개): 고경도 내마모 코팅으로 금형강·경화강 가공에 특화되어 있습니다
- **Diamond** (3개): 흑연/탄소섬유 가공 전용 다이아몬드 코팅입니다
- **TiCN / Bright Finish** (4개): 알루미늄 전용 저마찰 코팅입니다
가공하실 소재에 따라 코팅을 선택하시면 더 정확한 추천이 가능합니다. 어떤 코팅으로 좁혀볼까요?
소재를 모르신다면 **범용성이 높은 Y-Coating**이나 **경화강에 강한 Blue-Coating**을 추천드립니다.
  [선택지: Y-Coating (5개) | Blue-Coating (3개) | Diamond — 비철·고경도 (3개) | TiCN — 비철·플라스틱 (3개) | Uncoated — 무코팅 (2개) …]
👤 사용자: Uncoated — 무코팅 (2개)
🤖 AI assistant: 이 조건이면 E5908100 (E5908)를 먼저 보시면 됩니다. Ball 형상, 3날, φ10mm 기준에 잘 맞고, 코팅은 UNCOATED으로 N군 소재 대응 범위를 확인할 수 있습니다. 재고 10개 (소량). 납기 정보 없음.
  [선택지: 상위 3개 비교 | E5908100 상세 정보 | 다른 코팅 옵션 보기 | φ10mm 외 다른 직경 | ⟵ 이전 단계로 돌아가기 …]
👤 사용자: 코팅 무코팅 말고 다른거로 바꾸고싶어요
🤖 AI assistant [응답 👍] [선택지 👍]: 이 조건이면 E5908100 (E5908)를 먼저 보시면 됩니다. Ball 형상, 3날, φ10mm 기준에 잘 맞고, 코팅은 UNCOATED으로 N군 소재 대응 범위를 확인할 수 있습니다. 재고 10개 (소량). 납기 정보 없음.
  [선택지: 상위 3개 비교 | E5908100 상세 정보 | 다른 코팅 옵션 보기 | 시리즈 차이 설명해줘 (E5908 vs E5E51) | φ10mm 외 다른 직경 …]
👤 사용자: 전체길이 30포함 30이상만
🤖 AI assistant [응답 👍] [선택지 👍]: 네, 전체길이(OAL) 30mm 이상 조건을 추가하여 필터링하겠습니다.
현재 조건 정리:
- **직경**: φ10mm
- **형상**: Ball
- **날 수**: 3날
- **전체길이**: 30mm 이상
해당 조건으로 결과를 다시 조회합니다. 참고로 앞서 코팅을 UNCOATED에서 다른 것으로 변경하고 싶다고 하셨는데, 코팅 조건은 제외한 상태로 전체 코팅 옵션을 포함하여 검색할까요, 아니면 특정 코팅을 지정하시겠어요?
  [선택지: 전체길이 50 이상만 | 코팅 변경하기 | E5908100 상세 정보 | 4날로 변경 | 조건 초기화]</t>
  </si>
  <si>
    <t>🎯 의도: φ10mm Ball 엔드밀을 3날로 찾고, 코팅을 바꾸며 전체길이 30mm 이상 조건까지 걸고 싶음
✅ 정답 행동: 코팅을 무코팅에서 다른 코팅 옵션으로 변경할지 먼저 확인하고, 이어서 전체길이(OAL) 30mm 이상 조건을 적용해 재검색해야 함. 현재 조건을 정리해 누락 없이 반영한 뒤 후보를 다시 좁혀야 함.
⚠️ 당시 문제: 코팅 변경 의도를 반영하지 않고 이전 무코팅 추천을 반복함
💬 코멘트 분석: 무코팅이 아니라 다른 코팅으로 바꾸고 싶다는 요구 핵심</t>
  </si>
  <si>
    <t>최종 평가: 👍 / 응답: 👍3 총 6개 응답 / 선택지: 👍3</t>
  </si>
  <si>
    <t>tf-evt-mnizwbt5-oc120e52</t>
  </si>
  <si>
    <t>RLH-0076</t>
  </si>
  <si>
    <t>코팅 변경하며 30mm 이상 조건으로 재검색 원함</t>
  </si>
  <si>
    <t>🧭 초기 조건: 🧭 문의 목적=신규 제품 추천 / 🛠️ 가공 방식=Milling / 공구 직경=10mm / 🌐 국가=전체 국가 (ALL)
🤖 AI assistant: 공구 세부 타입이 중요한가요? Square (2070개), Radius (1502개), Spiral Flute (723개) 등이 있습니다.
  [선택지: Square (2070개) | Radius (1502개) | Spiral Flute (723개) | Ball (559개) | 상관없음 …]
👤 사용자: Ball (559개)
🤖 AI assistant [응답 👍] [선택지 👍]: 네, Ball 형상으로 범위를 좁혀드렸습니다. 현재 직경 10mm Ball 엔드밀이 561개 있습니다.
다음 단계로 **날 수(날개 수)**를 선택하시면 더 정확한 추천이 가능합니다.
현재 후보 분포를 보면:
- **2날(2 Flute)**: 가장 많은 옵션 보유 — 칩 배출이 원활하고 깊은 홈 가공에 유리
- **4날(4 Flute)**: 생산성 중시 — 이송 속도를 높일 수 있어 평면/얕은 가공에 적합
- **6날 이상**: 고경도 소재나 정밀 다듬질용
**어떤 날 수를 선호하시나요?** 아니면 "상관없음"을 선택하시면 제가 가장 범용적인 옵션으로 바로 추천해드리겠습니다.
  [선택지: 2날 (442개) | 4날 (69개) | 3날 (17개) | 상관없음 | ⟵ 이전 단계 …]
👤 사용자: 3날 (17개)
🤖 AI assistant: 네, 3날 조건으로 17개 제품이 남았습니다.
현재 후보 중에는 다양한 코팅 옵션이 있습니다:
- **Y-Coating** (2개): 범용 고경도 코팅으로 경화강·합금강·주강에 적합합니다
- **Blue-Coating** (3개): 고경도 내마모 코팅으로 금형강·경화강 가공에 특화되어 있습니다
- **Diamond** (3개): 흑연/탄소섬유 가공 전용 다이아몬드 코팅입니다
- **TiCN / Bright Finish** (4개): 알루미늄 전용 저마찰 코팅입니다
가공하실 소재에 따라 코팅을 선택하시면 더 정확한 추천이 가능합니다. 어떤 코팅으로 좁혀볼까요?
소재를 모르신다면 **범용성이 높은 Y-Coating**이나 **경화강에 강한 Blue-Coating**을 추천드립니다.
  [선택지: Y-Coating (5개) | Blue-Coating (3개) | Diamond — 비철·고경도 (3개) | TiCN — 비철·플라스틱 (3개) | Uncoated — 무코팅 (2개) …]
👤 사용자: Uncoated — 무코팅 (2개)
🤖 AI assistant: 이 조건이면 E5908100 (E5908)를 먼저 보시면 됩니다. Ball 형상, 3날, φ10mm 기준에 잘 맞고, 코팅은 UNCOATED으로 N군 소재 대응 범위를 확인할 수 있습니다. 재고 10개 (소량). 납기 정보 없음.
  [선택지: 상위 3개 비교 | E5908100 상세 정보 | 다른 코팅 옵션 보기 | φ10mm 외 다른 직경 | ⟵ 이전 단계로 돌아가기 …]
👤 사용자: 코팅 무코팅 말고 다른거로 바꾸고싶어요
🤖 AI assistant [응답 👍] [선택지 👍]: 이 조건이면 E5908100 (E5908)를 먼저 보시면 됩니다. Ball 형상, 3날, φ10mm 기준에 잘 맞고, 코팅은 UNCOATED으로 N군 소재 대응 범위를 확인할 수 있습니다. 재고 10개 (소량). 납기 정보 없음.
  [선택지: 상위 3개 비교 | E5908100 상세 정보 | 다른 코팅 옵션 보기 | 시리즈 차이 설명해줘 (E5908 vs E5E51) | φ10mm 외 다른 직경 …]
👤 사용자: 전체길이 30포함 30이상만
🤖 AI assistant [응답 👍] [선택지 👍]: 네, 전체길이(OAL) 30mm 이상 조건을 추가하여 필터링하겠습니다.
현재 조건 정리:
- **직경**: φ10mm
- **형상**: Ball
- **날 수**: 3날
- **전체길이**: 30mm 이상
해당 조건으로 결과를 다시 조회합니다. 참고로 앞서 코팅을 UNCOATED에서 다른 것으로 변경하고 싶다고 하셨는데, 코팅 조건은 제외한 상태로 전체 코팅 옵션을 포함하여 검색할까요, 아니면 특정 코팅을 지정하시겠어요?
  [선택지: 전체길이 50 이상만 | 코팅 변경하기 | E5908100 상세 정보 | 4날로 변경 | 조건 초기화]
👤 사용자: 코팅 변경하기
🤖 AI assistant [응답 👍] [선택지 👍]: 코팅을 변경하시려는 거군요! 현재 UNCOATED(무코팅)으로 설정되어 있는데, 어떤 코팅으로 변경하시겠어요?
- **TiAlN** — 범용 고경도 코팅, 내열성 우수
- **AlTiN** — 고속·고온 가공에 강함
- **DLC** — 비철금속(알루미늄 등) 가공에 적합, 낮은 마찰
- **TiCN** — 내마모성 우수
- **상관없음** — 코팅 제한 없이 전체 결과 보기
원하시는 코팅을 선택해 주세요!
  [선택지: TiAlN | AlTiN | DLC | TiCN | 상관없음 (전체 보기) …]</t>
  </si>
  <si>
    <t>🎯 의도: 무코팅에서 다른 코팅으로 바꾸고 OAL 30mm 이상 제품을 찾기
✅ 정답 행동: 사용자가 “코팅 변경하기”를 눌렀으므로, 기존 UNCOATED 조건을 해제한 뒤 TiAlN/AlTiN/DLC/TiCN 등 선택지를 다시 제시해 코팅을 선택받아야 함. 동시에 전체길이 30mm 이상 조건은 유지한 채 재필터링 흐름으로 이어가야 함.
⚠️ 당시 문제: 특이사항 없음
💬 코멘트 분석: 최종 평가는 전반적으로 좋았고 응답/선택지 품질도 대체로 만족했다는 의미임</t>
  </si>
  <si>
    <t>최종 평가: 👍 / 응답: 👍4 총 7개 응답 / 선택지: 👍4</t>
  </si>
  <si>
    <t>tf-evt-mnizwzee-yms3sagf</t>
  </si>
  <si>
    <t>RLH-0077</t>
  </si>
  <si>
    <t>Ball 제외 조건으로 재추천 요청, 재고는 미확인만 원함</t>
  </si>
  <si>
    <t>🧭 초기 조건: 🧭 문의 목적=신규 제품 추천 / 🧱 가공 소재=탄소강 / 🛠️ 가공 방식=Milling / 공구 직경=10mm / 🌐 국가=전체 국가 (ALL)
🤖 AI assistant: 공구 세부 타입이 중요한가요? Square (1713개), Radius (1141개), Spiral Flute (692개) 등이 있습니다.
  [선택지: Square (1713개) | Radius (1141개) | Spiral Flute (692개) | Ball (468개) | 상관없음 …]
👤 사용자: Ball (468개)
🤖 AI assistant: 네, Ball 엔드밀로 범위를 좁혔습니다. 현재 **470개**의 후보가 있습니다.
탄소강 가공에서 Ball 엔드밀은 3차원 곡면 가공, R 가공, 금형 다듬질 등에 주로 사용됩니다. 직경 10mm로 범위가 정해져 있으니, 이제 **날 수(flute)**를 결정하시면 더욱 정확한 추천이 가능합니다.
### 날 수에 따른 특징
- **2날**: 칩 배출이 우수하여 깊은 홈 가공, 고속 절삭에 유리합니다. 강성이 필요한 황삭~중삭에 적합합니다.
- **4날**: 생산성이 높고 표면 조도가 우수하여 정삭, 마무리 가공에 적합합니다. 얕은 절입에서 효과적입니다.
- **3날**: 2날과 4날의 중간 특성으로, 범용성이 있지만 선택지가 제한적입니다 (8개만 해당).
### 현재 분포
- **2날**: 374개 (가장 많은 선택지, 범용/황삭 중심)
- **4날**: 55개 (정삭/마무리 중심)
- **3날**: 8개 (제한적)
어떤 날 수를 선호하시나요? 가공 목적(황삭/정삭)을 말씀해주셔도 좋습니다.
날 수를 정하지 않고 **지금 조건으로 바로 추천**을 원하시면 말씀해주세요.
  [선택지: 2날 (374개) | 4날 (55개) | 3날 (8개) | 상관없음 | ⟵ 이전 단계 …]
👤 사용자: Ball 말고 다른거로 할래 Ball만 아니면 됩니다.
🤖 AI assistant: 코팅 종류 선호가 있으신가요? 후보 중에 TiAlN, Y-Coating, Bright Finish 등이 있습니다.
  [선택지: TiAlN — 내열·범용 (1548개) | Y-Coating (1386개) | Bright Finish (1255개) | Steam Homo (640개) | Steam homo (417개) …]
👤 사용자: 상관없으면 되는구나 ......ball 아닌거 물어봤는데.........
🤖 AI assistant: 이 조건이면 SG9E7710015 (SG9E77)를 먼저 보시면 됩니다. Square 형상, 4날, φ10mm 기준에 잘 맞고, 코팅은 X-Coating으로 H군, K군, P군 소재 대응 범위를 확인할 수 있습니다. 재고 212개 (즉시 출하). 납기 정보 없음.
  [선택지: 상위 3개 비교 | SG9E7710015 상세 정보 | 시리즈 차이 설명해줘 (SG9E77 vs SG9E76) | φ10mm 외 다른 직경 | P 가공 팁 보기 …]
👤 사용자: 재고 미확인된것만
🤖 AI assistant: 현재 표시된 50개 결과 중 재고 미확인 제품만 필터링하겠습니다.
죄송하지만, 현재 시스템에서 각 제품의 실시간 재고 상태 정보를 직접 보유하고 있지 않아, "재고 미확인" 여부를 기준으로 자동 분류해 드리기 어렵습니다.
재고 확인이 필요하시면 아래 방법을 추천드립니다:
• **YG-1 공식 대리점**이나 **영업 담당자**에게 제품 코드(예: SG9E7710015, SG9E76100 등)를 전달하여 재고 조회 요청
• **YG-1 공식 웹사이트**에서 제품별 재고 현황 확인
혹시 다른 조건(날수, 코팅, 시리즈 등)으로 결과를 좁혀드릴까요?
  [선택지: 재고 확인된 것만 보기 | 전체 결과 다시 보기 | SG9E77 시리즈 상세 | 직경 변경 | 조건 초기화]
👤 사용자: 재고 확인된 것만 보기
🤖 AI assistant: 죄송합니다. 현재 시스템에서는 각 제품의 실시간 재고 확인/미확인 상태를 자동으로 구분하는 기능을 지원하지 않습니다.
재고를 확인하시려면 아래 방법을 추천드립니다:
1. **YG-1 공식 홈페이지** (yg1.kr) → 제품 코드 검색 시 재고 여부 표시
2. **담당 대리점 또는 영업 담당자**에게 관심 제품 코드(예: SG9E7710015, SG9E76100 등)를 전달하여 직접 문의
현재 표시된 50개 결과에서 다른 조건(날수, 코팅 종류, 길이 등)으로 좁혀드릴 수는 있습니다. 어떻게 진행할까요?
  [선택지: YG-1 대리점에 재고 문의하기 | SG9E77 시리즈 상세 보기 | SG9E76 시리즈 상세 보기 | 날수 기준으로 좁히기 | 조건 변경 …]
👤 사용자: 날수 기준으로 좁히기
🤖 AI assistant: 현재 φ10mm, P소재 기준 50개 결과를 날수로 좁혀 드리겠습니다.
몇 날 제품을 원하시나요?
• **2날** — 홈 가공, 슬로팅 등에 유리
• **3날** — 절삭력과 배출 균형
• **4날** — 일반 측면/평면 가공에 가장 범용
• **5날 이상** — 고이송·고효율 가공
원하시는 날수를 선택해 주세요!
  [선택지: 2날 | 3날 | 4날 | 5날 이상]
👤 사용자: 4날
🤖 AI assistant [응답 👍] [선택지 👍]: 4날로 좁혀서 검색하겠습니다!
현재 φ10mm, P소재 기준 결과에서 **4날(4F)** 제품만 필터링합니다. 잠시만 기다려 주세요.
  [선택지: 코팅 종류별 비교 | SG9E77 시리즈 특징 | 조건 초기화]</t>
  </si>
  <si>
    <t>🎯 의도: Ball 아닌 φ10mm 탄소강 Milling 공구를 재고 미확인 제품 기준으로 찾고 싶음
✅ 정답 행동: 사용자의 “Ball만 아니면” 조건을 우선 반영해 Ball 형상을 제외한 후보만 다시 제시해야 함. 이후 재고 확인 여부를 필터로 지원할 수 없으면 그 사실을 명확히 안내하고, 대신 형상/날수/코팅 등 실제 가능한 조건으로 추천을 이어가야 함.
⚠️ 당시 문제: “상관없으면”으로 오해해 Ball 제외 요청을 제대로 반영하지 못함
💬 코멘트 분석: 재고 확인된 것만이 아니라 “재고 미확인된 것만”을 원했고, Ball 제외 요청을 놓친 점이 불만 핵심임</t>
  </si>
  <si>
    <t>최종 평가: 👍 / 응답: 👍1 총 8개 응답 / 선택지: 👍1</t>
  </si>
  <si>
    <t>tf-evt-mnjtgle6-pbcofkck</t>
  </si>
  <si>
    <t>RLH-0078</t>
  </si>
  <si>
    <t>Ball 제외한 10mm 탄소강 밀링 공구를 찾음</t>
  </si>
  <si>
    <t>🧭 초기 조건: 🧭 문의 목적=신규 제품 추천 / 🧱 가공 소재=탄소강 / 🛠️ 가공 방식=Milling / 공구 직경=10mm / 🌐 국가=전체 국가 (ALL)
🤖 AI assistant: 공구 세부 타입이 중요한가요? Square (1713개), Radius (1141개), Spiral Flute (692개) 등이 있습니다.
  [선택지: Square (1713개) | Radius (1141개) | Spiral Flute (692개) | Ball (468개) | 상관없음 …]
👤 사용자: Ball (468개)
🤖 AI assistant: 네, Ball 엔드밀로 범위를 좁혔습니다. 현재 **470개**의 후보가 있습니다.
탄소강 가공에서 Ball 엔드밀은 3차원 곡면 가공, R 가공, 금형 다듬질 등에 주로 사용됩니다. 직경 10mm로 범위가 정해져 있으니, 이제 **날 수(flute)**를 결정하시면 더욱 정확한 추천이 가능합니다.
### 날 수에 따른 특징
- **2날**: 칩 배출이 우수하여 깊은 홈 가공, 고속 절삭에 유리합니다. 강성이 필요한 황삭~중삭에 적합합니다.
- **4날**: 생산성이 높고 표면 조도가 우수하여 정삭, 마무리 가공에 적합합니다. 얕은 절입에서 효과적입니다.
- **3날**: 2날과 4날의 중간 특성으로, 범용성이 있지만 선택지가 제한적입니다 (8개만 해당).
### 현재 분포
- **2날**: 374개 (가장 많은 선택지, 범용/황삭 중심)
- **4날**: 55개 (정삭/마무리 중심)
- **3날**: 8개 (제한적)
어떤 날 수를 선호하시나요? 가공 목적(황삭/정삭)을 말씀해주셔도 좋습니다.
날 수를 정하지 않고 **지금 조건으로 바로 추천**을 원하시면 말씀해주세요.
  [선택지: 2날 (374개) | 4날 (55개) | 3날 (8개) | 상관없음 | ⟵ 이전 단계 …]
👤 사용자: Ball 말고 다른거로 할래 Ball만 아니면 됩니다.
🤖 AI assistant: 코팅 종류 선호가 있으신가요? 후보 중에 TiAlN, Y-Coating, Bright Finish 등이 있습니다.
  [선택지: TiAlN — 내열·범용 (1548개) | Y-Coating (1386개) | Bright Finish (1255개) | Steam Homo (640개) | Steam homo (417개) …]
👤 사용자: 상관없으면 되는구나 ......ball 아닌거 물어봤는데.........
🤖 AI assistant: 이 조건이면 SG9E7710015 (SG9E77)를 먼저 보시면 됩니다. Square 형상, 4날, φ10mm 기준에 잘 맞고, 코팅은 X-Coating으로 H군, K군, P군 소재 대응 범위를 확인할 수 있습니다. 재고 212개 (즉시 출하). 납기 정보 없음.
  [선택지: 상위 3개 비교 | SG9E7710015 상세 정보 | 시리즈 차이 설명해줘 (SG9E77 vs SG9E76) | φ10mm 외 다른 직경 | P 가공 팁 보기 …]
👤 사용자: 재고 미확인된것만
🤖 AI assistant: 현재 표시된 50개 결과 중 재고 미확인 제품만 필터링하겠습니다.
죄송하지만, 현재 시스템에서 각 제품의 실시간 재고 상태 정보를 직접 보유하고 있지 않아, "재고 미확인" 여부를 기준으로 자동 분류해 드리기 어렵습니다.
재고 확인이 필요하시면 아래 방법을 추천드립니다:
• **YG-1 공식 대리점**이나 **영업 담당자**에게 제품 코드(예: SG9E7710015, SG9E76100 등)를 전달하여 재고 조회 요청
• **YG-1 공식 웹사이트**에서 제품별 재고 현황 확인
혹시 다른 조건(날수, 코팅, 시리즈 등)으로 결과를 좁혀드릴까요?
  [선택지: 재고 확인된 것만 보기 | 전체 결과 다시 보기 | SG9E77 시리즈 상세 | 직경 변경 | 조건 초기화]
👤 사용자: 재고 확인된 것만 보기
🤖 AI assistant: 죄송합니다. 현재 시스템에서는 각 제품의 실시간 재고 확인/미확인 상태를 자동으로 구분하는 기능을 지원하지 않습니다.
재고를 확인하시려면 아래 방법을 추천드립니다:
1. **YG-1 공식 홈페이지** (yg1.kr) → 제품 코드 검색 시 재고 여부 표시
2. **담당 대리점 또는 영업 담당자**에게 관심 제품 코드(예: SG9E7710015, SG9E76100 등)를 전달하여 직접 문의
현재 표시된 50개 결과에서 다른 조건(날수, 코팅 종류, 길이 등)으로 좁혀드릴 수는 있습니다. 어떻게 진행할까요?
  [선택지: YG-1 대리점에 재고 문의하기 | SG9E77 시리즈 상세 보기 | SG9E76 시리즈 상세 보기 | 날수 기준으로 좁히기 | 조건 변경 …]
👤 사용자: 날수 기준으로 좁히기
🤖 AI assistant: 현재 φ10mm, P소재 기준 50개 결과를 날수로 좁혀 드리겠습니다.
몇 날 제품을 원하시나요?
• **2날** — 홈 가공, 슬로팅 등에 유리
• **3날** — 절삭력과 배출 균형
• **4날** — 일반 측면/평면 가공에 가장 범용
• **5날 이상** — 고이송·고효율 가공
원하시는 날수를 선택해 주세요!
  [선택지: 2날 | 3날 | 4날 | 5날 이상]
👤 사용자: 4날
🤖 AI assistant [응답 👍] [선택지 👍]: 4날로 좁혀서 검색하겠습니다!
현재 φ10mm, P소재 기준 결과에서 **4날(4F)** 제품만 필터링합니다. 잠시만 기다려 주세요.
  [선택지: 코팅 종류별 비교 | SG9E77 시리즈 특징 | 조건 초기화]
👤 사용자: 필터링 함 ?
🤖 AI assistant [응답 👍] [선택지 👍]: 죄송합니다, 말씀하신 4날 필터링이 아직 적용되지 않았네요! 지금 바로 **φ10mm / P소재 / 4날(4F)** 조건으로 필터링을 진행하겠습니다.
잠시만 기다려 주세요 — 결과를 좁혀서 다시 보여드리겠습니다.
  [선택지: SG9E77 시리즈 특징 | SEME81 시리즈 특징 | 조건 초기화 | 다른 소재로 검색]</t>
  </si>
  <si>
    <t>🎯 의도: Ball이 아닌 10mm 탄소강 밀링 공구 추천
✅ 정답 행동: Ball 제외 조건을 핵심 필터로 반영해, 이후 추천 후보에서 Ball을 빼고 다른 형상(예: Square 등)으로 바로 좁혀야 했다. 사용자가 “상관없으면 되는구나”에 대해 불만을 표시했으므로, 형상 조건을 정확히 이해했는지 재확인하고 다시 필터링했어야 한다.
⚠️ 당시 문제: Ball 제외 요구를 놓치고 상관없음으로 오해함
💬 코멘트 분석: Ball만 빼고 묻는다고 했는데 형상 재질문이 부정확하다는 불만</t>
  </si>
  <si>
    <t>최종 평가: 👍 / 응답: 👍2 총 9개 응답 / 선택지: 👍2</t>
  </si>
  <si>
    <t>tf-evt-mnjthezu-i7gms30v</t>
  </si>
  <si>
    <t>RLH-0079</t>
  </si>
  <si>
    <t>직경 재선택 중 오답 추천 후 재선정 요청</t>
  </si>
  <si>
    <t>🧭 초기 조건: 🧭 문의 목적=신규 제품 추천 / 🧱 가공 소재=탄소강 / 🛠️ 가공 방식=Milling / 🌐 국가=전체 국가 (ALL)
🤖 AI assistant: 안녕하세요! 탄소강 소재 밀링 가공용 제품을 찾아드리겠습니다.
현재 조건으로 48,258개의 제품이 검색되었습니다. 보다 정확한 추천을 위해 몇 가지 조건을 여쭤보겠습니다.
먼저 필요하신 공구 직경을 선택해주시거나 직접 입력해주세요. 현재 데이터베이스에는 다양한 직경의 제품이 준비되어 있습니다.
  [선택지: 25.4mm (2143개) | 4mm (1662개) | 3mm (1649개) | 2mm (1626개) | 76.2mm (1515개) …]
👤 사용자: 직경 추천 부탁해요 ㅎㅎ
🤖 AI assistant: 코팅 종류 선호가 있으신가요? 후보 중에 Y-Coating, Bright Finish, TiAlN 등이 있습니다.
  [선택지: Y-Coating (11025개) | Bright Finish (7435개) | TiAlN — 내열·범용 (6406개) | Steam Homo (4027개) | TiN Coating (1805개) …]
👤 사용자: TiN Coating (1805개)
🤖 AI assistant: 공구 세부 타입이 중요한가요? Gun Point (916개), Spiral Flute (813개), Straight Flute (122개) 등이 있습니다.
  [선택지: Gun Point (916개) | Spiral Flute (813개) | Straight Flute (122개) | Miniature Thread Mill (10개) | 상관없음 …]
👤 사용자: 직경 어떻게하는게 좋아?
🤖 AI assistant: 탄소강 밀링 가공에서 직경은 **가공 형상과 깊이**에 따라 결정됩니다.
일반적인 범위는:
- **소형 정밀 가공**: φ3~6mm (현재 후보 중 TTS33206, TTS33246 등)
- **범용 중형**: φ8~12mm (TT450363, TT450423 등)
- **대형 황삭**: φ16mm 이상
구멍 직경이나 가공할 홈 폭이 정해져 있다면 그에 맞춰 선택하시고, 특별한 제약이 없으시면 **φ6~10mm**가 범용성이 좋습니다. 가공하실 형상(홈, 포켓, 윤곽 등)이나 홀 직경을 알려주시면 더 정확히 추천드릴게요!
다시 제품 추천으로 돌아갈게요. 공구 세부 타입이 중요한가요? Gun Point (916개), Spiral Flute (813개), Straight Flute (122개) 등이 있습니다.
  [선택지: Gun Point (916개) | Spiral Flute (813개) | Straight Flute (122개) | Miniature Thread Mill (10개) | 상관없음 …]
👤 사용자: φ6~10mm
🤖 AI assistant: 직경: 상관없음 + 코팅: TiN Coating + 직경: φ6~10mm 조건을 모두 적용하면 후보가 없습니다.
현재 조건에서 선택 가능한 직경: 161.29 , 12 , 322.58 , 201.63 , 282.24 , 241.94 , 10 , 14
  [선택지: 직경 161.29 (71개) | 직경 12 (68개) | 직경 322.58 (68개) | 직경 201.63 (67개) | 직경 282.24 (67개) …]
👤 사용자: 모든 직경 다 알려줘 개수랑
🤖 AI assistant: 현재 **TiN Coating 조건**만 적용된 상태에서 모든 직경 분포를 알려드립니다:
- **φ3mm**: 16개
- **φ4mm**: 16개
- **φ5mm**: 6개
- **φ6mm**: 6개
- **φ8mm**: 6개
총 **50개 제품**이 이 5가지 직경으로 분포되어 있습니다. 이전에 요청하신 **φ6~10mm 범위**에는 φ6mm(6개)와 φ8mm(6개) 총 **12개 제품**이 해당됩니다. 특정 직경을 선택하시거나, 범위를 조정하시면 다음 단계로 진행하겠습니다!
  [선택지: 쉽게 설명해줘 | 추천으로 골라줘 | 상관없음 | Spiral Flute란? | Gun Point란? …]
👤 사용자: 추천으로 골라줘
🤖 AI assistant: 가장 가까운 후보로는 TTS33206 (TTS33)를 먼저 검토해보시면 됩니다. Gun Point 형상, 3날, φ3mm 기준에 잘 맞고, 코팅은 TiN Coating으로 K군, M군, N군, P군 소재 대응 범위를 확인할 수 있습니다. 재고 2개 (소량). 정확 일치 없음 — 근사 후보 표시 중.
  [선택지: 상위 3개 비교 | TTS33206 상세 정보 | 다른 코팅 옵션 보기 | 시리즈 차이 설명해줘 (TTS33 vs TTS31) | φ3mm 외 다른 직경 …]
👤 사용자: toolSubtype 다시 고르자
🤖 AI assistant [응답 👍]: 오류가 발생했습니다. 다시 시도해주세요.</t>
  </si>
  <si>
    <t>🎯 의도: 탄소강 밀링용 공구의 적절한 직경을 다시 고르고 싶었음
✅ 정답 행동: 사용자가 “toolSubtype 다시 고르자”라고 했으므로 직경/서브타입 선택 단계로 정상 복귀해야 함. 현재까지의 필터(TiN Coating 등)를 유지할지 확인하고, 공구 세부 타입 후보를 다시 제시하거나 직경 재선택 화면으로 안내했어야 함.
⚠️ 당시 문제: 오류가 발생해 대화 흐름을 끊었음
💬 코멘트 분석: 최종 평가는 긍정적이지만, 실제로는 재선택을 원해 흐름 복구가 핵심이었음</t>
  </si>
  <si>
    <t>최종 평가: 👍 / 응답: 👍1 총 8개 응답</t>
  </si>
  <si>
    <t>tf-ses-1775276748937-8</t>
  </si>
  <si>
    <t>RLH-0080</t>
  </si>
  <si>
    <t>Steam Homo·4날·φ8mm 엔드밀 추천 요청</t>
  </si>
  <si>
    <t>🧭 초기 조건: 🧭 문의 목적=신규 제품 추천 / 🧱 가공 소재=탄소강 / 🛠️ 가공 방식=Milling / 공구 직경=8mm / 🌐 국가=전체 국가 (ALL)
🤖 AI assistant: 안녕하세요! 탄소강 소재에 φ8mm 엔드밀을 찾고 계시는군요.
현재 조건으로 **8,462개**의 제품이 검색되었습니다. 좀 더 정확한 추천을 위해 몇 가지 여쭤볼게요.
먼저 **코팅 종류**에 선호하시는 게 있으신가요? 후보 중에 TiAlN, Y-Coating, Bright Finish 등이 있습니다.
  [선택지: TiAlN — 내열·범용 (1726개) | Y-Coating (1387개) | Bright Finish (1361개) | Steam Homo (664개) | Steam homo (442개) …]
👤 사용자: Steam homo (442개)
🤖 AI assistant: 네, Steam Homo 코팅 제품으로 1,126개가 검색되었습니다.
탭의 경우 홀 형상에 따라 칩 배출 방식이 달라집니다:
- **Spiral Flute** (233개): 나선형 홈으로 칩을 위로 배출, 관통홀에 유리
- **Gun Point** (108개): 직선 홈 + 챔퍼 형상, 중간 깊이 홀에 적합
- **Straight Flute** (30개): 일반 직선 홈, 얕은 홀이나 범용
어떤 타입이 필요하신가요? 가공 홀 형태를 알려주시면 더 정확히 추천드리겠습니다.
  [선택지: Spiral Flute (233개) | Gun Point (108개) | Straight Flute (30개) | 상관없음 | ⟵ 이전 단계 …]
👤 사용자: korea꺼만
🤖 AI assistant: 코팅: Steam Homo + 국가: KOR 조건을 모두 적용하면 후보가 없습니다.
국가 조건을 변경하거나 '상관없음'을 선택해주세요.
  [선택지: ⟵ 이전 단계 | 📋 지금 바로 제품 보기 (1126개) | ✨ AI 상세 분석]
👤 사용자: 상관없음
🤖 AI assistant: 현재 1126개 후보가 있습니다. 날 수(flute) 선호가 있으신가요?
  [선택지: 2날 (755개) | 3날 (348개) | 4날 (19개) | 5날 (4개) | 상관없음 …]
👤 사용자: 4날 (19개)
🤖 AI assistant [응답 👍] [선택지 👍]: 이 조건이면 T1325362 (T1325)를 먼저 보시면 됩니다. Straight Flute 형상, 4날, φ8mm 기준에 잘 맞고, 코팅은 Steam Homo으로 K군, N군, P군 소재 대응 범위를 확인할 수 있습니다. 재고 정보 없음.
  [선택지: 상위 3개 비교 | T1325362 상세 정보 | 다른 코팅 옵션 보기 | 시리즈 차이 설명해줘 (T1325 vs T1323) | φ8mm 외 다른 직경 …]</t>
  </si>
  <si>
    <t>🎯 의도: 탄소강 밀링용 φ8mm 제품을 조건에 맞게 추천받기
✅ 정답 행동: Steam Homo, 국가조건 제외, 4날 조건을 반영해 후보를 좁히고 해당 조건에 맞는 제품을 1개 이상 추천해야 함. 재고/세부 스펙이 부족하면 확인 가능한 범위와 함께 추가 비교 विकल्प을 제시해야 함.
⚠️ 당시 문제: 특이사항 없음
💬 코멘트 분석: 코멘트 없음</t>
  </si>
  <si>
    <t>최종 평가: 👍 / 응답: 👍1 총 5개 응답 / 선택지: 👍1</t>
  </si>
  <si>
    <t>tf-evt-mnjvnlk3-y651o8sw</t>
  </si>
  <si>
    <t>RLH-0081</t>
  </si>
  <si>
    <t>재고 200개 이상인 10mm 밀링 공구 추천 요청</t>
  </si>
  <si>
    <t>🧭 초기 조건: 🧭 문의 목적=신규 제품 추천 / 🧱 가공 소재=탄소강 / 🛠️ 가공 방식=Milling / 공구 직경=10mm / 🌐 국가=전체 국가 (ALL)
🤖 AI assistant: 안녕하세요! 탄소강 밀링 가공용 φ10mm 엔드밀을 찾고 계시는군요.
현재 조건에 맞는 후보가 **7,953개** 있습니다. 좀 더 정확한 추천을 위해 몇 가지만 여쭤볼게요.
**코팅 종류에 선호하시는 게 있으신가요?**
후보 중에 TiAlN, Y-Coating, Bright Finish, Steam Homo 등 다양한 코팅이 있는데, 특별히 원하시는 코팅이 있으시면 말씀해 주세요. 아니면 "상관없음"을 선택하셔도 됩니다!
  [선택지: TiAlN — 내열·범용 (1548개) | Y-Coating (1386개) | Bright Finish (1255개) | Steam Homo (640개) | Steam homo (417개) …]
👤 사용자: Y-Coating 외에 거 해주세요
🤖 AI assistant: 네, Y-Coating을 제외하고 검색해드렸습니다. 현재 3,373개 후보가 있네요.
탄소강 가공에는 날 수(flute)에 따라 특성이 달라지는데요, 어떤 날 수를 원하시나요?
• **2날** - 칩 배출이 우수해서 깊은 홈이나 슬롯 가공에 유리합니다
• **4날** - 표면조도가 좋고 생산성이 높아 범용적으로 많이 쓰입니다
• **3날/6날** - 특수한 용도로 사용됩니다
• **상관없음** - 모든 날 수 포함해서 추천드립니다
  [선택지: 2날 (1530개) | 4날 (1112개) | 3날 (383개) | 6날 (202개) | 상관없음 …]
👤 사용자: 6날 (202개)
🤖 AI assistant: 6날로 좁혀서 202개 남았습니다.
이제 **공구 형상**을 정해볼까요?
- **Radius (R형)** 110개 – 모서리가 둥근 타입, 표면조도 유리
- **Square (각형)** 91개 – 직각 가공에 적합
- **Miniature Thread Mill** 1개 – 미니 나사 가공용
어떤 형상이 필요하신가요? 아니면 **상관없으시면** 그대로 추천드릴게요.
  [선택지: Radius (110개) | Square (91개) | Miniature Thread Mill (1개) | 상관없음 | ⟵ 이전 단계 …]
👤 사용자: 4날로 바꿔줘
🤖 AI assistant: 이 조건이면 SG9E7710015 (SG9E77)를 먼저 보시면 됩니다. Square 형상, 4날, φ10mm 기준에 잘 맞고, 코팅은 X-Coating으로 H군, K군, P군 소재 대응 범위를 확인할 수 있습니다. 재고 212개 (즉시 출하). 납기 정보 없음.
  [선택지: 코팅으로 좁히기 (X-Coating/Y-Coating) | 상위 3개 비교 | SG9E7710015 상세 정보 | 시리즈 차이 설명해줘 (SG9E77 vs SG9E76) | φ10mm 외 다른 직경 …]
👤 사용자: 재고 200개 이상만
🤖 AI assistant [응답 👍] [선택지 👍]: 재고 200개 이상인 제품만 필터링해서 보여드리겠습니다.
현재 조건(탄소강(P), φ10mm, 4날, TiN 코팅)에서 재고 200개 이상인 제품을 추려드릴게요. 잠시만요.
※ 실시간 재고 데이터 조회가 필요한 조건이라, 시스템에서 재고 200개 이상 필터를 적용하여 결과를 갱신합니다. 해당 조건에 맞는 제품이 없을 경우 기준을 조정해드릴 수도 있으니 참고해 주세요.
  [선택지: 재고 가장 많은 순 정렬 | Radius 형상만 보기 | 코팅별 비교 | 직경 다른 사이즈 검색 | 조건 초기화]</t>
  </si>
  <si>
    <t>🎯 의도: 재고 200개 이상인 탄소강용 φ10mm 밀링 공구를 찾고 싶음
✅ 정답 행동: 현재까지의 필터 조건을 유지한 채 재고 200개 이상 제품만 정확히 재검색해 결과를 제시해야 함. 결과가 없으면 없다고 안내하고, 필요 시 조건 완화 옵션을 함께 제안해야 함.
⚠️ 당시 문제: 특이사항 없음
💬 코멘트 분석: 코멘트 없음</t>
  </si>
  <si>
    <t>tf-evt-mnkabrz8-fpn9l1pe</t>
  </si>
  <si>
    <t>RLH-0082</t>
  </si>
  <si>
    <t>알루미늄 3날 측면가공 공구 조건 좁히기</t>
  </si>
  <si>
    <t>🧭 초기 조건: 문의 목적=신규 제품 추천 / 피삭재 (소재)=알루미늄 / 가공 형상=Side_Milling,Side Milling
🤖 AI assistant [응답 👍] [선택지 👍]: 알루미늄 측면 가공용 제품을 찾으시는군요. 현재 1,852개 후보가 있습니다.
알루미늄 세부 소재를 선택해 주세요:
• 알루미늄(연질)
• 알루미늄 단조 합금
• 알루미늄 주조 합금
• 알루미늄 합금
• 상관없음
  [선택지: 알루미늄 | 알루미늄 (연질) | 알루미늄 단조 합금 | 알루미늄 주조 합금 | 알루미늄 합금 …]
👤 사용자: 알루미늄
🤖 AI assistant [응답 👍] [선택지 👍]: 네, 알루미늄 가공용으로 안내드리고 있습니다. 직경은 몇 mm가 필요하신가요? (예: 6mm, 8mm, 10mm, 12mm 등)
  [선택지: 3날 (177개) | 4날 (49개) | 2날 (49개) | 상관없음 | ⟵ 이전 단계]
👤 사용자: 3날 (177개)
🤖 AI assistant [응답 👍] [선택지 👍]: 3날로 좁혔습니다. 이제 공구 날 끝 형상을 정해볼게요.
• Square (평날, 98개): 90도 코너 가공, 정밀 측벽
• Radius (R날, 79개): 코너 강도↑, 면조도↑, 긴 수명
어떤 형상이 필요하신가요? (모르면 '상관없음')
  [선택지: Square (98개) | Radius (79개) | 상관없음 | ⟵ 이전 단계]</t>
  </si>
  <si>
    <t>🎯 의도: 알루미늄용 Side Milling 공구를 세부 조건으로 추천받기
✅ 정답 행동: 알루미늄 소재를 확인한 뒤 날수와 끝형상 등 핵심 조건을 단계적으로 좁혀 추천해야 함. 다음 단계로 직경/끝형상 선택을 명확히 안내하고, 선택지 기반으로 후보를 줄여가야 함.
⚠️ 당시 문제: 특이사항 없음
💬 코멘트 분석: 추천 진행과 선택지 흐름이 적절했다는 평가임</t>
  </si>
  <si>
    <t>최종 평가: 👍 / 응답: 👍3 총 3개 응답 / 선택지: 👍3</t>
  </si>
  <si>
    <t>tf-evt-mn4smch8-3um52bco</t>
  </si>
  <si>
    <t>RLH-0083</t>
  </si>
  <si>
    <t>알루미늄 6mm 밀링 공구 추천 중 코팅 선택</t>
  </si>
  <si>
    <t>🧭 초기 조건: 문의 목적=신규 제품 추천 / 피삭재 (소재)=알루미늄 / 가공 형상=Side_Milling / 가공 방식=Milling / 공구 직경=6mm
🤖 AI assistant [응답 👍] [선택지 👍]: 알루미늄 소재 6mm 엔드밀 측면가공용으로 405개 제품이 있습니다. 알루미늄 세부 소재를 선택해주세요 — 연질/단조합금/주조합금/일반합금 중 어떤 것인가요?
  [선택지: 알루미늄 | 알루미늄 (연질) | 알루미늄 단조 합금 | 알루미늄 주조 합금 | 알루미늄 합금 …]
👤 사용자: 익산 공장 정보줘
🤖 AI assistant [응답 👍] [선택지 👍]: 익산 공장은 YG-1에 존재하지 않습니다. 국내 공장은 인천본공장(032-500-4400), 부평, 서운, 광주, 충주 5곳만 운영 중입니다.
알루미늄 6mm 사이드밀링용 제품 추천을 이어가겠습니다. 코팅 종류 선호가 있으신가요? 후보 중에 DLC(고경도), X-Coating(범용), TiAlN(내열) 등이 있습니다.
  [선택지: Bright Finish (180개) | X-Coating (30개) | TiAlN (15개) | DLC (13개) | 상관없음 …]
👤 사용자: 제주 공장은 ?
🤖 AI assistant [응답 👍] [선택지 👎]: 사용자가 "제주 공장은?"이라고 물어보셨는데, 이는 이전에 입력했던 "익산 공장 정보줘"와 유사한 맥락으로 보입니다.
현재 상황:
- 적용된 필터에 `workPieceName=익산 공장 정보줘`가 있음
- 사용자가 이번에는 "제주 공장"에 대해 질문
이것은 공구 추천 시스템의 맥락에서 벗어난 질문입니다. YG-1의 공장 위치나 시설에 대한 정보 요청으로 보입니다.
직접 답변 제공:
YG-1(와이지원)은 대한민국의 절삭공구 전문 제조업체입니다. 
**제주 공장**에 대해서는 제가 확인할 수 있는 공개된 정보에서 YG-1이 제주도에 생산 공장을 운영하고 있다는 정보를 찾기 어렵습니다.
YG-1의 주요 생산 거점은:
- **국내**: 전북 익산 (본사 공장)
- **해외**: 중국, 독일, 미국 등에 생산 및 유통 거점
제주도에 YG-1 공장이 있는지, 또는 다른 특정 정보를 원하시는 것인지 구체적으로 말씀해 주시면 더 정확한 안내를 드릴 수 있습니다.
혹시 **절삭공구 추천**을 원하시는 경우, 가공하실 소재나 작업 내용을 알려주시면 적합한 제품을 찾아드리겠습니다!
[Reference: AI 지식 추론 + 공개 정보]
  [선택지: Bright Finish | DLC | X-Coating | TiAlN | TiCN …]
👤 사용자: TiAlN
🤖 AI assistant [응답 👍] [선택지 👍]: TiAlN 코팅은 이미 적용되어 15개로 좁혀졌습니다.
날 수(flute) 선호가 있으신가요? 2날은 칩 배출이 좋고, 4날은 면조도가 우수합니다.
  [선택지: 4날 (10개) | 2날 (5개) | 상관없음 | ⟵ 이전 단계]</t>
  </si>
  <si>
    <t>🎯 의도: 알루미늄 6mm 사이드밀링용 공구를 추천받고 싶었다
✅ 정답 행동: 알루미늄/6mm/Side Milling 조건을 유지한 채 코팅 선호를 이어받아 추천을 좁혀야 했다. 사용자의 “TiAlN” 선택을 코팅 필터로 반영하고, 다음 적합 조건(날 수 등)만 질문해야 한다.
⚠️ 당시 문제: 공장 정보 질문이 추천 흐름과 무관한데도 시스템 필터가 잘못 섞인 점이 있었다
💬 코멘트 분석: 선택지 1개는 부적절했지만 전체적으로 응답은 대부분 적절했고 최종 평가는 좋았다</t>
  </si>
  <si>
    <t>tf-evt-mn4tevri-wqtuepgl</t>
  </si>
  <si>
    <t>RLH-0084</t>
  </si>
  <si>
    <t>알루미늄 10mm 사각 엔드밀 추천 진행</t>
  </si>
  <si>
    <t>🧭 초기 조건: 문의 목적=신규 제품 추천 / 피삭재 (소재)=알루미늄 / 가공 형상=Side_Milling / 가공 방식=Milling / 공구 직경=10mm
🤖 AI assistant [응답 👍] [선택지 👍]: 알루미늄 소재, 10mm 직경으로 Side Milling 작업이시군요. 현재 424개 제품이 매칭됩니다.
알루미늄 중에서도 **연질 알루미늄**인가요, 아니면 **주조 합금**이나 **단조 합금** 같은 특정 종류인가요? 소재 특성에 따라 최적 제품이 달라집니다.
  [선택지: 알루미늄 | 알루미늄 (연질) | 알루미늄 단조 합금 | 알루미늄 주조 합금 | 알루미늄 합금 …]
👤 사용자: 알루미늄
🤖 AI assistant [응답 👍] [선택지 👍]: 네, 알루미늄 가공용으로 좁혀드릴게요.
공구 끝 형상이 중요한가요?
- **Square (평날)**: 34개 - 측면/바닥 모서리 가공
- **Radius (라운드)**: 32개 - 곡면/모서리 강도 필요 시
어떤 형상을 선호하시나요?
  [선택지: Square (34개) | Radius (32개) | 상관없음 | ⟵ 이전 단계]
👤 사용자: Square (34개)
🤖 AI assistant [응답 👍] [선택지 👍]: 네, Square 엔드밀로 좁혔습니다. 현재 34개 후보 중 상위 10개를 보여드렸어요.
날 수 선호가 있으신가요? (2날/3날/4날 등)
  [선택지: 3날 (24개) | 4날 (5개) | 2날 (5개) | 상관없음 | ⟵ 이전 단계]</t>
  </si>
  <si>
    <t>🎯 의도: 알루미늄용 10mm Side Milling 공구를 추천받고 싶음
✅ 정답 행동: 알루미늄 조건에서 Square(평날)까지 좁힌 뒤, 날 수/코팅/목끝길이 등 핵심 사양을 이어서 질문하거나 후보를 제시했어야 함. 현재는 4번째 단계로 자연스럽게 2날/3날/4날 선호를 확인하는 흐름이 적절함.
⚠️ 당시 문제: 특이사항 없음
💬 코멘트 분석: 최종적으로 AI의 단계별 응답과 선택지가 적절했다고 평가함</t>
  </si>
  <si>
    <t>tf-evt-mn4tkkuq-sw5pvsus</t>
  </si>
  <si>
    <t>RLH-0085</t>
  </si>
  <si>
    <t>알루미늄 10mm Side Milling용 날수 선택 문의</t>
  </si>
  <si>
    <t>🧭 초기 조건: 문의 목적=신규 제품 추천 / 피삭재 (소재)=알루미늄 / 가공 형상=Side_Milling / 가공 방식=Milling / 공구 직경=10mm
🤖 AI assistant [응답 👍] [선택지 👍]: 알루미늄 소재, 10mm 직경으로 Side Milling 작업이시군요. 현재 424개 제품이 매칭됩니다.
알루미늄 중에서도 **연질 알루미늄**인가요, 아니면 **주조 합금**이나 **단조 합금** 같은 특정 종류인가요? 소재 특성에 따라 최적 제품이 달라집니다.
  [선택지: 알루미늄 | 알루미늄 (연질) | 알루미늄 단조 합금 | 알루미늄 주조 합금 | 알루미늄 합금 …]
👤 사용자: 알루미늄
🤖 AI assistant [응답 👍] [선택지 👍]: 네, 알루미늄 가공용으로 좁혀드릴게요.
공구 끝 형상이 중요한가요?
- **Square (평날)**: 34개 - 측면/바닥 모서리 가공
- **Radius (라운드)**: 32개 - 곡면/모서리 강도 필요 시
어떤 형상을 선호하시나요?
  [선택지: Square (34개) | Radius (32개) | 상관없음 | ⟵ 이전 단계]
👤 사용자: Square (34개)
🤖 AI assistant [응답 👍] [선택지 👍]: 네, Square 엔드밀로 좁혔습니다. 현재 34개 후보 중 상위 10개를 보여드렸어요.
날 수 선호가 있으신가요? (2날/3날/4날 등)
  [선택지: 3날 (24개) | 4날 (5개) | 2날 (5개) | 상관없음 | ⟵ 이전 단계]
👤 사용자: 날수는 어떤 경우에 달라지나요?
🤖 AI assistant [응답 👍] [선택지 👍]: 날수(날개 수, Flute Count)는 엔드밀의 절삭 날 개수를 의미하며, 가공 상황에 따라 다르게 선택됩니다:
## 날수 선택 기준
**2날 (2 Flute)**
- **용도**: 알루미늄, 비철금속, 연질 재료
- **특징**: 칩 배출 공간이 넓어 칩이 많이 발생하는 재료에 유리
- **장점**: 절삭 속도 향상, 칩 막힘 방지
- **단점**: 강성이 상대적으로 낮음
**3날 (3 Flute)**
- **용도**: 알루미늄 범용 가공, 균형잡힌 선택
- **특징**: 2날과 4날의 중간 특성
- **장점**: 적절한 칩 배출 + 적절한 강성 및 표면조도
- **단점**: 특화된 장점은 다소 약함
**4날 (4 Flute)**
- **용도**: 철강, 스테인레스강, 경질 재료
- **특징**: 강성이 높고 표면조도가 우수
- **장점**: 안정적인 가공, 공구 수명 향상, 좋은 표면 품질
- **단점**: 칩 배출 공간이 좁아 연질 재료에는 부적합
**5날 이상**
- **용도**: 경화강, 정밀 가공, 고속 가공
- **특징**: 매우 높은 강성과 최상의 표면조도
- **장점**: 진동 감소, 정밀도 향상
- **단점**: 칩 배출이 어려움
## 현재 상황
알루미늄 가공용 Square 엔드밀을 찾고 계시므로, **3날(24개 제품)** 또는 **2날(5개 제품)**이 적합합니다. 4날은 알루미늄에서는 칩 막힘 위험이 있어 일반적으로 권장되지 않습니다.
어떤 날수로 진행하시겠습니까?
[Reference: YG-1 내부 DB + 절삭공구 일반 지식]
  [선택지: 3날 | 4날 | 2날 | 상관없음]</t>
  </si>
  <si>
    <t>🎯 의도: 알루미늄용 10mm Side Milling에 맞는 엔드밀 날수 추천
✅ 정답 행동: 알루미늄 가공에서 2날/3날/4날의 차이를 간단히 설명하고, 현재 조건에서는 칩 배출과 범용성을 고려해 2날 또는 3날을 우선 추천했어야 함. 선택지를 줄 때도 “알루미늄이면 보통 2날/3날”처럼 바로 의사결정이 가능하게 안내해야 함.
⚠️ 당시 문제: 특이사항 없음
💬 코멘트 분석: 최종 평가가 모두 좋았고 추가 불만은 없음</t>
  </si>
  <si>
    <t>tf-evt-mn4tl93e-o4eoac9j</t>
  </si>
  <si>
    <t>RLH-0086</t>
  </si>
  <si>
    <t>티타늄 10mm 슬로팅용 4날 공구 추천 요청</t>
  </si>
  <si>
    <t>🧭 초기 조건: 문의 목적=신규 제품 추천 / 피삭재 (소재)=티타늄 / 가공 형상=Slotting / 가공 방식=Milling / 공구 직경=10mm
🤖 AI assistant [응답 👍] [선택지 👍]: 티타늄 소재를 10mm 엔드밀로 슬로팅 가공하시는군요. 현재 353개 제품이 매칭됩니다.
티타늄의 세부 종류를 알려주시면 더 정확한 추천이 가능합니다. 순수 티타늄인가요, 아니면 Ti-6Al-4V 같은 티타늄 합금인가요?
  [선택지: 내열합금 | 니켈 기반 내열합금 | 인코넬 | 철 기반 내열합금 | 코발트 기반 내열합금 …]
👤 사용자: 상관없음
🤖 AI assistant [응답 👎] [선택지 👎]: 코팅은 어떤 걸 선호하시나요? (Y-Coating, TiAlN, 무코팅 등)
  [선택지: 4날 (200개) | 6날 (51개) | 3날 (41개) | 5날 (32개) | 상관없음 …]
👤 사용자: 4날 (200개)
🤖 AI assistant [응답 👍] [선택지 👍]: 4날로 200개까지 좁혔습니다.
티타늄 슬로팅은 절삭 부하가 크기 때문에 **코팅 관련해서 말씀해주세요이 공구 수명에 직결**됩니다.
현재 후보 중 Y-Coating(범용 고경도), K2(고온 안정성), TiAlN(저마찰) 등이 있는데, **어떤 코팅을 선호하시나요?**
특별한 선호가 없으시면 Y-Coating(티타늄 가공 검증된 범용)으로 추천드리겠습니다.
  [선택지: Y-Coating (71개) | TiAlN (57개) | AlTiN (33개) | T-Coating (31개) | 상관없음 …]</t>
  </si>
  <si>
    <t>🎯 의도: 티타늄 소재 10mm 슬로팅용 엔드밀 추천
✅ 정답 행동: 티타늄의 세부 등급이 상관없다고 했으므로, 4날 조건을 반영해 바로 코팅/형상 기준으로 후보를 제시했어야 합니다. 필요 시 최소한의 추가 질문만 하고, 최종적으로는 Y-Coating 등 티타늄 슬로팅에 적합한 제품을 추천해야 합니다.
⚠️ 당시 문제: 코팅을 다시 질문해 진행이 지연됨
💬 코멘트 분석: 중간 응답 1회가 부정확했지만 전체적으로는 수용 가능하다는 평가임</t>
  </si>
  <si>
    <t>최종 평가: 👍 / 응답: 👍2 👎1 총 3개 응답 / 선택지: 👍2 👎1</t>
  </si>
  <si>
    <t>tf-evt-mn4vfu94-ei1k5hgu</t>
  </si>
  <si>
    <t>RLH-0087</t>
  </si>
  <si>
    <t>티타늄 Slotting용 φ10mm 4날 코팅 추천 요청</t>
  </si>
  <si>
    <t>🧭 초기 조건: 문의 목적=신규 제품 추천 / 피삭재 (소재)=티타늄 / 가공 형상=Slotting / 가공 방식=Milling / 공구 직경=10mm
🤖 AI assistant [응답 👍] [선택지 👍]: 티타늄 소재, 슬로팅 가공, φ10mm 조건으로 353개 제품이 매칭됩니다. 티타늄 중에서도 세부 소재를 선택해주시면 더 정확한 추천이 가능합니다. 어떤 소재인가요?
[내열합금 | 니켈 기반 내열합금 | 인코넬 | 철 기반 내열합금 | 코발트 기반 내열합금 | 티타늄 | 티타늄 합금 | 티타늄강 | 상관없음]
  [선택지: 내열합금 | 니켈 기반 내열합금 | 인코넬 | 철 기반 내열합금 | 코발트 기반 내열합금 …]
👤 사용자: 상관없음
🤖 AI assistant [응답 👍] [선택지 👎]: 알겠습니다. 코팅 선호는 있으신가요? (예: TiAlN, DLC, 무코팅 등)
  [선택지: 4날 (200개) | 6날 (51개) | 3날 (41개) | 5날 (32개) | 상관없음 …]
👤 사용자: 4날 (200개)
🤖 AI assistant [응답 👍] [선택지 👍]: 4날로 200개까지 좁혔습니다. 코팅 종류 선호가 있으신가요? 현재 후보 중에 Y-Coating(티타늄 특화), K2(범용 고경도), TiAlN(내열성) 등이 있습니다.
  [선택지: Y-Coating (71개) | TiAlN (57개) | AlTiN (33개) | T-Coating (31개) | 상관없음 …]</t>
  </si>
  <si>
    <t>🎯 의도: 티타늄 Slotting 가공에 맞는 φ10mm 4날 공구를 추천받고 싶음
✅ 정답 행동: 티타늄 조건을 유지한 채 4날 기준으로 코팅/형상/시리즈를 비교해 다음 추천 단계로 좁혀야 함. 코팅 선호가 없으면 Y-Coating, TiAlN, AlTiN 등 후보별 특징을 간단히 제시하고 선택을 유도하면 됨.
⚠️ 당시 문제: 특이사항 없음
💬 코멘트 분석: 코멘트 없음</t>
  </si>
  <si>
    <t>최종 평가: 👍 / 응답: 👍3 총 3개 응답 / 선택지: 👍2 👎1</t>
  </si>
  <si>
    <t>tf-evt-mn4vpa4a-h8wphbib</t>
  </si>
  <si>
    <t>RLH-0088</t>
  </si>
  <si>
    <t>일반강 10mm 슬롯팅 엔드밀 추천을 원함</t>
  </si>
  <si>
    <t>🧭 초기 조건: 문의 목적=신규 제품 추천 / 피삭재 (소재)=일반강 / 가공 형상=Slotting / 가공 방식=Milling / 공구 직경=10mm
🤖 AI assistant [응답 👍] [선택지 👍]: 일반강 소재에 10mm 엔드밀로 슬로팅 가공하시는군요. 현재 1,037개 제품이 매칭됩니다.
정확한 추천을 위해 세부 소재를 알려주세요. 고경도강, 공구강, 스테인리스강 400계 등 구체적인 재질이 있으신가요?
  [선택지: 고경도강 | 고탄소강 | 공구강 | 내열강 | 다이캐스팅 합금강/ 프리하든강 …]
👤 사용자: 상관없음
🤖 AI assistant [응답 👍] [선택지 👎]: 알겠습니다. 날 수(Flute) 선호는 있으신가요? 현재 후보에는 2날, 4날, 6날이 있습니다.
  [선택지: Y-Coating (252개) | Bright Finish (228개) | T-Coating (179개) | TiAlN (168개) | 상관없음 …]
👤 사용자: Y-Coating (252개)
🤖 AI assistant [응답 👍] [선택지 👍]: Y-Coating으로 252개 후보가 있습니다. 날 수(flute) 선호가 있으신가요? (예: 2날, 4날, 6날 등)
  [선택지: 4날 (142개) | 6날 (51개) | 5날 (26개) | 2날 (24개) | 상관없음 …]</t>
  </si>
  <si>
    <t>🎯 의도: 일반강 Slotting용 10mm 밀링 공구를 추천받기
✅ 정답 행동: 소재를 더 세분화해야 할 필요가 없으니, 바로 2날/4날/6날 중 가공 조건에 맞는 공구를 좁혀 추천하거나 다음 핵심 조건(절입, 절삭유, 가공 깊이)을 물어봐야 함.  
후속 선택지로는 현재 조건에 맞는 대표 후보를 제시하고 비교 기준을 안내했어야 함.
⚠️ 당시 문제: 특이사항 없음
💬 코멘트 분석: 사용자는 전반적으로 응답은 좋았지만, 선택지 1회는 부적절했다고 평가함</t>
  </si>
  <si>
    <t>tf-evt-mn4w4k7v-fnma7n58</t>
  </si>
  <si>
    <t>RLH-0089</t>
  </si>
  <si>
    <t>알루미늄 10mm 엔드밀 추천 및 공장 문의</t>
  </si>
  <si>
    <t>🧭 초기 조건: 문의 목적=신규 제품 추천 / 피삭재 (소재)=알루미늄 / 가공 방식=Milling / 공구 직경=10mm
🤖 AI assistant [응답 👍] [선택지 👍]: 알루미늄 소재에 직경 10mm 밀링 공구를 찾으시는군요. 현재 424개 제품이 있습니다.
알루미늄 종류를 선택해주세요. 연질, 단조 합금, 주조 합금 중 어떤 소재인가요?
  [선택지: 알루미늄 | 알루미늄 (연질) | 알루미늄 단조 합금 | 알루미늄 주조 합금 | 알루미늄 합금 …]
👤 사용자: 알루미늄 주조 합금
🤖 AI assistant [응답 👍] [선택지 👍]: "알루미늄 주조 합금" 조건을 적용하면 후보가 없습니다. 현재 424개 후보에서 다른 조건을 선택해주세요.
  [선택지: 알루미늄 | 알루미늄 (연질) | 알루미늄 단조 합금 | 알루미늄 주조 합금 | 알루미늄 합금 …]
👤 사용자: 알루미늄(연질)
🤖 AI assistant [응답 👍] [선택지 👍]: 네, 알루미늄 연질용 제품으로 좁혔습니다. 공구 끝 형상을 선택하시겠어요?
• **Square(사각)** - 90° 코너, 날카로운 모서리 가공
• **Radius(R형)** - 둥근 코너, 공구 수명 향상
• **상관없음** - 범용 추천
  [선택지: Square (34개) | Radius (32개) | 상관없음 | ⟵ 이전 단계]
👤 사용자: yg-1 익산 공장에 대해 알려줘
🤖 AI assistant [응답 👍] [선택지 👍]: YG-1에 익산공장은 없습니다. 국내 공장은 인천(인천본공장·부평공장·서운공장), 광주, 충주 총 5곳입니다.
  [선택지: Square (34개) | Radius (32개) | 상관없음 | ⟵ 이전 단계]
👤 사용자: 너 사우디 아바비아에도 공장 있다며
🤖 AI assistant [응답 👍] [선택지 👍]: 네, 맞습니다! YG-1은 사우디아라비아에도 생산 거점을 두고 있습니다. 
YG-1은 글로벌 절삭공구 전문기업으로서 한국을 비롯해 미국, 유럽, 중국, 인도, 그리고 중동 지역에 이르기까지 전 세계적으로 생산 및 판매 네트워크를 확장하고 있습니다. 사우디아라비아 공장은 중동 시장 공략을 위한 전략적 거점으로, 현지 수요에 빠르게 대응하고 물류 효율성을 높이기 위해 운영되고 있습니다.
이를 통해 YG-1은 중동 지역의 석유화학, 건설, 제조업 등 다양한 산업 분야에 고품질 절삭공구를 공급하고 있으며, 현지 고객들에게 신속한 기술 지원과 서비스를 제공하고 있습니다.
[Reference: YG-1 공식 정보 기반 AI 지식 추론]
---
현재 **알루미늄 가공용 엔드밀 66개**가 검색되어 있습니다. 공구 형상(Square/Radius)을 선택하시거나, 다른 조건을 추가로 지정해주시면 더 정확한 추천을 도와드릴게요! 😊
다시 제품 추천으로 돌아갈게요. YG-1에 익산공장은 없습니다. 국내 공장은 인천(인천본공장·부평공장·서운공장), 광주, 충주 총 5곳입니다.
  [선택지: Square (34개) | Radius (32개) | 상관없음 | ⟵ 이전 단계]
👤 사용자: Radius (32개)
🤖 AI assistant [응답 👍] [선택지 👍]: **브랜드명:** ALU-CUT for Korean Market | **제품코드:** GED7210030
알루미늄 밀링용으로 **ALU-CUT E5D72 시리즈 GED7210030**를 추천드립니다.
**추천 근거:**
1. **직경 정확 매칭** — 요청하신 φ10mm와 정확히 일치 (exact match)
2. **알루미늄 전용 설계** — N군(비철) 소재에 최적화된 3날 구조, Bright Finish로 칩 배출과 표면조도 모두 우수
3. **검증된 절삭조건** — Vc=251m/min, fz=0.051mm/tooth, ap=0.2D (신뢰도 90%)
**주의사항:**
- 현재 재고 제한적(limited) — 급한 경우 본사(032-526-0909) 납기 확인 필요
- 표시된 10개 제품(GED/E5D 코드 차이)은 모두 동일 스펙으로 85점 근사 매칭 — 코드 뒤 숫자(0005/0010/0020/0030/100)는 날길이 옵션 차이이므로 실제 도면 확인 후 선택 권장
**대안:**
- 날길이 옵션이 다양하므로(0005~100), 가공 깊이에 따라 E5D7210020(중간) 또는 E5D7210010(짧음) 선택 가능 — 모두 동일 절삭조건 적용
📋 **Reference:** YG-1 내부 DB (카탈로그 스펙, 절삭조건, 재고 정보)
  [선택지: 대체 후보 4개 비교하기 | 절삭조건 알려줘 | 왜 이 제품을 추천했나요? | 다른 코팅 옵션 보기]</t>
  </si>
  <si>
    <t>🎯 의도: 알루미늄 연질용 φ10 밀링 공구 추천을 받고, 중간에 YG-1 공장 정보도 확인하려는 것
✅ 정답 행동: 알루미늄(연질) 조건을 유지한 채 형상/날길이 등 추천 단계로 자연스럽게 진행하고, 공장 질문에는 YG-1 공식 공장 정보만 간단히 정확히 안내해야 함
⚠️ 당시 문제: 사우디아라비아 공장 존재를 단정적으로 설명해 사실과 불일치 가능성이 있음
💬 코멘트 분석: 최종 평가상 전체 응답과 선택지는 적절했으며 별도 불만 코멘트는 없음</t>
  </si>
  <si>
    <t>tf-evt-mn4x8emn-r1yt5yew</t>
  </si>
  <si>
    <t>RLH-0090</t>
  </si>
  <si>
    <t>알루미늄 10mm 엔드밀 추천과 시리즈 확인</t>
  </si>
  <si>
    <t>🧭 초기 조건: 문의 목적=신규 제품 추천 / 피삭재 (소재)=알루미늄 / 가공 방식=Milling / 공구 직경=10mm
🤖 AI assistant [응답 👍] [선택지 👍]: 알루미늄 소재에 직경 10mm 밀링 공구를 찾으시는군요. 현재 424개 제품이 있습니다.
알루미늄 종류를 선택해주세요. 연질, 단조 합금, 주조 합금 중 어떤 소재인가요?
  [선택지: 알루미늄 | 알루미늄 (연질) | 알루미늄 단조 합금 | 알루미늄 주조 합금 | 알루미늄 합금 …]
👤 사용자: 알루미늄 주조 합금
🤖 AI assistant [응답 👍] [선택지 👍]: "알루미늄 주조 합금" 조건을 적용하면 후보가 없습니다. 현재 424개 후보에서 다른 조건을 선택해주세요.
  [선택지: 알루미늄 | 알루미늄 (연질) | 알루미늄 단조 합금 | 알루미늄 주조 합금 | 알루미늄 합금 …]
👤 사용자: 알루미늄(연질)
🤖 AI assistant [응답 👍] [선택지 👍]: 네, 알루미늄 연질용 제품으로 좁혔습니다. 공구 끝 형상을 선택하시겠어요?
• **Square(사각)** - 90° 코너, 날카로운 모서리 가공
• **Radius(R형)** - 둥근 코너, 공구 수명 향상
• **상관없음** - 범용 추천
  [선택지: Square (34개) | Radius (32개) | 상관없음 | ⟵ 이전 단계]
👤 사용자: yg-1 익산 공장에 대해 알려줘
🤖 AI assistant [응답 👍] [선택지 👍]: YG-1에 익산공장은 없습니다. 국내 공장은 인천(인천본공장·부평공장·서운공장), 광주, 충주 총 5곳입니다.
  [선택지: Square (34개) | Radius (32개) | 상관없음 | ⟵ 이전 단계]
👤 사용자: 너 사우디 아바비아에도 공장 있다며
🤖 AI assistant [응답 👍] [선택지 👍]: 네, 맞습니다! YG-1은 사우디아라비아에도 생산 거점을 두고 있습니다. 
YG-1은 글로벌 절삭공구 전문기업으로서 한국을 비롯해 미국, 유럽, 중국, 인도, 그리고 중동 지역에 이르기까지 전 세계적으로 생산 및 판매 네트워크를 확장하고 있습니다. 사우디아라비아 공장은 중동 시장 공략을 위한 전략적 거점으로, 현지 수요에 빠르게 대응하고 물류 효율성을 높이기 위해 운영되고 있습니다.
이를 통해 YG-1은 중동 지역의 석유화학, 건설, 제조업 등 다양한 산업 분야에 고품질 절삭공구를 공급하고 있으며, 현지 고객들에게 신속한 기술 지원과 서비스를 제공하고 있습니다.
[Reference: YG-1 공식 정보 기반 AI 지식 추론]
---
현재 **알루미늄 가공용 엔드밀 66개**가 검색되어 있습니다. 공구 형상(Square/Radius)을 선택하시거나, 다른 조건을 추가로 지정해주시면 더 정확한 추천을 도와드릴게요! 😊
다시 제품 추천으로 돌아갈게요. YG-1에 익산공장은 없습니다. 국내 공장은 인천(인천본공장·부평공장·서운공장), 광주, 충주 총 5곳입니다.
  [선택지: Square (34개) | Radius (32개) | 상관없음 | ⟵ 이전 단계]
👤 사용자: Radius (32개)
🤖 AI assistant [응답 👍] [선택지 👍]: **브랜드명:** ALU-CUT for Korean Market | **제품코드:** GED7210030
알루미늄 밀링용으로 **ALU-CUT E5D72 시리즈 GED7210030**를 추천드립니다.
**추천 근거:**
1. **직경 정확 매칭** — 요청하신 φ10mm와 정확히 일치 (exact match)
2. **알루미늄 전용 설계** — N군(비철) 소재에 최적화된 3날 구조, Bright Finish로 칩 배출과 표면조도 모두 우수
3. **검증된 절삭조건** — Vc=251m/min, fz=0.051mm/tooth, ap=0.2D (신뢰도 90%)
**주의사항:**
- 현재 재고 제한적(limited) — 급한 경우 본사(032-526-0909) 납기 확인 필요
- 표시된 10개 제품(GED/E5D 코드 차이)은 모두 동일 스펙으로 85점 근사 매칭 — 코드 뒤 숫자(0005/0010/0020/0030/100)는 날길이 옵션 차이이므로 실제 도면 확인 후 선택 권장
**대안:**
- 날길이 옵션이 다양하므로(0005~100), 가공 깊이에 따라 E5D7210020(중간) 또는 E5D7210010(짧음) 선택 가능 — 모두 동일 절삭조건 적용
📋 **Reference:** YG-1 내부 DB (카탈로그 스펙, 절삭조건, 재고 정보)
  [선택지: 대체 후보 4개 비교하기 | 절삭조건 알려줘 | 왜 이 제품을 추천했나요? | 다른 코팅 옵션 보기]
👤 사용자: 지금 있는 시리즈들 리스트로 줘봐
🤖 AI assistant [응답 👍] [선택지 👍]: 현재 추천된 제품들은 모두 **ALU-CUT 시리즈**입니다.
**ALU-CUT for Korean Market (E5D72 시리즈)**
- φ10mm, 3날, 45° 나선각, 코너 R형
- 알루미늄 전용 무코팅(Bright Finish)
- 제품 코드: GED72/E5D72로 시작하는 10개 모델
- 코너 R 사이즈별 구분 (R0.05~R3.0)
추가로 다른 직경이나 날수, 혹은 평날(Square) 타입이 필요하시면 말씀해주세요.
  [선택지: 대체 후보 4개 비교하기 | 절삭조건 알려줘 | 왜 이 제품을 추천했나요? | 다른 코팅 옵션 보기]</t>
  </si>
  <si>
    <t>🎯 의도: 알루미늄(연질)용 10mm 밀링 공구 추천과 후보 시리즈 확인
✅ 정답 행동: 알루미늄 연질, 직경 10mm, Radius 조건에 맞는 YG-1 후보를 정확히 추천하고, 사용자가 요청한 경우 현재 검색된 시리즈/모델 리스트를 간단히 정리해줘야 함.
⚠️ 당시 문제: 특이사항 없음
💬 코멘트 분석: 시리즈를 리스트로 달라는 요구에 맞게 ALU-CUT 계열로 요약 응답한 점이 핵심</t>
  </si>
  <si>
    <t>tf-evt-mn4xa0kd-n7779zas</t>
  </si>
  <si>
    <t>RLH-0091</t>
  </si>
  <si>
    <t>알루미늄 엔드밀 추천 중 코팅옵션 재조회</t>
  </si>
  <si>
    <t>🧭 초기 조건: 문의 목적=신규 제품 추천 / 피삭재 (소재)=알루미늄 / 가공 방식=Milling / 공구 직경=10mm
🤖 AI assistant [응답 👍] [선택지 👍]: 알루미늄 소재에 직경 10mm 밀링 공구를 찾으시는군요. 현재 424개 제품이 있습니다.
알루미늄 종류를 선택해주세요. 연질, 단조 합금, 주조 합금 중 어떤 소재인가요?
  [선택지: 알루미늄 | 알루미늄 (연질) | 알루미늄 단조 합금 | 알루미늄 주조 합금 | 알루미늄 합금 …]
👤 사용자: 알루미늄 주조 합금
🤖 AI assistant [응답 👍] [선택지 👍]: "알루미늄 주조 합금" 조건을 적용하면 후보가 없습니다. 현재 424개 후보에서 다른 조건을 선택해주세요.
  [선택지: 알루미늄 | 알루미늄 (연질) | 알루미늄 단조 합금 | 알루미늄 주조 합금 | 알루미늄 합금 …]
👤 사용자: 알루미늄(연질)
🤖 AI assistant [응답 👍] [선택지 👍]: 네, 알루미늄 연질용 제품으로 좁혔습니다. 공구 끝 형상을 선택하시겠어요?
• **Square(사각)** - 90° 코너, 날카로운 모서리 가공
• **Radius(R형)** - 둥근 코너, 공구 수명 향상
• **상관없음** - 범용 추천
  [선택지: Square (34개) | Radius (32개) | 상관없음 | ⟵ 이전 단계]
👤 사용자: yg-1 익산 공장에 대해 알려줘
🤖 AI assistant [응답 👍] [선택지 👍]: YG-1에 익산공장은 없습니다. 국내 공장은 인천(인천본공장·부평공장·서운공장), 광주, 충주 총 5곳입니다.
  [선택지: Square (34개) | Radius (32개) | 상관없음 | ⟵ 이전 단계]
👤 사용자: 너 사우디 아바비아에도 공장 있다며
🤖 AI assistant [응답 👍] [선택지 👍]: 네, 맞습니다! YG-1은 사우디아라비아에도 생산 거점을 두고 있습니다. 
YG-1은 글로벌 절삭공구 전문기업으로서 한국을 비롯해 미국, 유럽, 중국, 인도, 그리고 중동 지역에 이르기까지 전 세계적으로 생산 및 판매 네트워크를 확장하고 있습니다. 사우디아라비아 공장은 중동 시장 공략을 위한 전략적 거점으로, 현지 수요에 빠르게 대응하고 물류 효율성을 높이기 위해 운영되고 있습니다.
이를 통해 YG-1은 중동 지역의 석유화학, 건설, 제조업 등 다양한 산업 분야에 고품질 절삭공구를 공급하고 있으며, 현지 고객들에게 신속한 기술 지원과 서비스를 제공하고 있습니다.
[Reference: YG-1 공식 정보 기반 AI 지식 추론]
---
현재 **알루미늄 가공용 엔드밀 66개**가 검색되어 있습니다. 공구 형상(Square/Radius)을 선택하시거나, 다른 조건을 추가로 지정해주시면 더 정확한 추천을 도와드릴게요! 😊
다시 제품 추천으로 돌아갈게요. YG-1에 익산공장은 없습니다. 국내 공장은 인천(인천본공장·부평공장·서운공장), 광주, 충주 총 5곳입니다.
  [선택지: Square (34개) | Radius (32개) | 상관없음 | ⟵ 이전 단계]
👤 사용자: Radius (32개)
🤖 AI assistant [응답 👍] [선택지 👍]: **브랜드명:** ALU-CUT for Korean Market | **제품코드:** GED7210030
알루미늄 밀링용으로 **ALU-CUT E5D72 시리즈 GED7210030**를 추천드립니다.
**추천 근거:**
1. **직경 정확 매칭** — 요청하신 φ10mm와 정확히 일치 (exact match)
2. **알루미늄 전용 설계** — N군(비철) 소재에 최적화된 3날 구조, Bright Finish로 칩 배출과 표면조도 모두 우수
3. **검증된 절삭조건** — Vc=251m/min, fz=0.051mm/tooth, ap=0.2D (신뢰도 90%)
**주의사항:**
- 현재 재고 제한적(limited) — 급한 경우 본사(032-526-0909) 납기 확인 필요
- 표시된 10개 제품(GED/E5D 코드 차이)은 모두 동일 스펙으로 85점 근사 매칭 — 코드 뒤 숫자(0005/0010/0020/0030/100)는 날길이 옵션 차이이므로 실제 도면 확인 후 선택 권장
**대안:**
- 날길이 옵션이 다양하므로(0005~100), 가공 깊이에 따라 E5D7210020(중간) 또는 E5D7210010(짧음) 선택 가능 — 모두 동일 절삭조건 적용
📋 **Reference:** YG-1 내부 DB (카탈로그 스펙, 절삭조건, 재고 정보)
  [선택지: 대체 후보 4개 비교하기 | 절삭조건 알려줘 | 왜 이 제품을 추천했나요? | 다른 코팅 옵션 보기]
👤 사용자: 지금 있는 시리즈들 리스트로 줘봐
🤖 AI assistant [응답 👍] [선택지 👍]: 현재 추천된 제품들은 모두 **ALU-CUT 시리즈**입니다.
**ALU-CUT for Korean Market (E5D72 시리즈)**
- φ10mm, 3날, 45° 나선각, 코너 R형
- 알루미늄 전용 무코팅(Bright Finish)
- 제품 코드: GED72/E5D72로 시작하는 10개 모델
- 코너 R 사이즈별 구분 (R0.05~R3.0)
추가로 다른 직경이나 날수, 혹은 평날(Square) 타입이 필요하시면 말씀해주세요.
  [선택지: 대체 후보 4개 비교하기 | 절삭조건 알려줘 | 왜 이 제품을 추천했나요? | 다른 코팅 옵션 보기]
👤 사용자: 다른 코팅 옵션 보기
🤖 AI assistant [응답 👍] [선택지 👎]: "다른 코팅 옵션 보기" 조건을 적용하면 후보가 없습니다. 현재 32개 후보에서 다른 조건을 선택해주세요.
  [선택지: ⟵ 이전 단계 | 처음부터 다시]</t>
  </si>
  <si>
    <t>🎯 의도: 알루미늄 가공용 엔드밀의 다른 코팅 옵션을 보고 싶음
✅ 정답 행동: 현재 ALU-CUT 시리즈 내에서 가능한 코팅/표면처리 옵션을 보여주거나, 없으면 “무코팅(Bright Finish)만 가능”을 명확히 안내해야 함. 후보 없음으로 끊지 말고 대체 가능한 관련 시리즈/옵션으로 이어서 추천했어야 함.
⚠️ 당시 문제: “다른 코팅 옵션 보기”에 대해 후보 없음만 안내해 사용자가 원하는 비교 정보를 주지 못함
💬 코멘트 분석: 코팅 옵션 비교를 원했는데 선택지 오류로 더 이상 탐색이 막힌 점이 핵심 불만</t>
  </si>
  <si>
    <t>최종 평가: 👍 / 응답: 👍8 총 8개 응답 / 선택지: 👍7 👎1</t>
  </si>
  <si>
    <t>tf-evt-mn4xbh45-bhmoo6qj</t>
  </si>
  <si>
    <t>RLH-0092</t>
  </si>
  <si>
    <t>티타늄 10mm 4날 슬로팅용 공구 추천 원함</t>
  </si>
  <si>
    <t>🧭 초기 조건: 문의 목적=신규 제품 추천 / 피삭재 (소재)=티타늄 / 가공 형상=Slotting / 가공 방식=Milling / 공구 직경=10mm
🤖 AI assistant [응답 👎] [선택지 👎]: 티타늄 소재를 10mm 엔드밀로 슬로팅 가공하시는군요. 현재 353개 제품이 매칭됩니다.
티타늄 중에서도 구체적으로 어떤 소재인가요? 티타늄 합금(Ti-6Al-4V 등)인지, 순티타늄인지 알려주시면 더 정확히 추천드릴 수 있습니다.
  [선택지: 내열합금 | 니켈 기반 내열합금 | 인코넬 | 철 기반 내열합금 | 코발트 기반 내열합금 …]
👤 사용자: 상관없음
🤖 AI assistant [응답 👍] [선택지 👎]: 알겠습니다. 코팅은 어떤 것을 선호하시나요? (Y-Coating, TiAlN, 무코팅 등)
  [선택지: 4날 (200개) | 6날 (51개) | 3날 (41개) | 5날 (32개) | 상관없음 …]
👤 사용자: 4날 (200개)
🤖 AI assistant [응답 👍] [선택지 👍]: 4날로 200개까지 좁혔습니다.
코팅 종류 선호가 있으신가요? 후보 중에 Y-Coating(범용), K2(고속 가능), TiAlN(내열성 우수) 등이 있습니다.
  [선택지: Y-Coating (71개) | TiAlN (57개) | AlTiN (33개) | T-Coating (31개) | 상관없음 …]</t>
  </si>
  <si>
    <t>🎯 의도: 티타늄 소재의 10mm 4날 밀링용 슬롯가공 공구 추천
✅ 정답 행동: 티타늄 슬로팅 조건에 맞는 10mm 엔드밀 후보를 제시하고, 4날 선택을 반영해 코팅/형상까지 이어서 좁혀야 함. 사용자가 소재를 “상관없음”으로 했으므로 추가 소재 확인은 생략하고, 바로 코팅·플루트·가공조건을 기준으로 추천을 진행했어야 함.
⚠️ 당시 문제: 소재 추가 확인은 불필요했고, 이후 선택지 흐름도 코팅 중심으로 이어져야 했음
💬 코멘트 분석: 최종 평가는 응답은 대체로 적절하나 선택지 품질은 아쉬움</t>
  </si>
  <si>
    <t>최종 평가: 👍 / 응답: 👍2 👎1 총 3개 응답 / 선택지: 👍1 👎2</t>
  </si>
  <si>
    <t>tf-evt-mn4xl96h-xnh2zicr</t>
  </si>
  <si>
    <t>RLH-0093</t>
  </si>
  <si>
    <t>알루미늄 연질 10mm 라운드 엔드밀 추천 요청</t>
  </si>
  <si>
    <t>🧭 초기 조건: 문의 목적=신규 제품 추천 / 피삭재 (소재)=알루미늄 / 가공 형상=Side_Milling / 가공 방식=Milling / 공구 직경=10mm
🤖 AI assistant [응답 👍] [선택지 👍]: 알루미늄 소재 10mm 엔드밀로 측면 가공하시는군요. 현재 424개 제품이 매칭됩니다.
알루미늄 세부 소재를 알려주시겠어요? 연질인지, 주조 합금인지에 따라 날 구조가 달라집니다.
  [선택지: 알루미늄 | 알루미늄 (연질) | 알루미늄 단조 합금 | 알루미늄 주조 합금 | 알루미늄 합금 …]
👤 사용자: 알루미늄 주조 합금
🤖 AI assistant [응답 👍] [선택지 👍]: "알루미늄 주조 합금" 조건을 적용하면 후보가 없습니다. 현재 424개 후보에서 다른 조건을 선택해주세요.
  [선택지: 알루미늄 | 알루미늄 (연질) | 알루미늄 단조 합금 | 알루미늄 주조 합금 | 알루미늄 합금 …]
👤 사용자: 알루미늄(연질)
🤖 AI assistant [응답 👍] [선택지 👍]: 네, 알루미늄 연질 가공이시군요. 그럼 공구 끝 형상은 어떤 게 필요하신가요?
- **Square (평날)**: 모서리 각진 가공, 슬롯 등 (34개)
- **Radius (라운드)**: 모서리 R 가공, 공구 수명 연장 (32개)
- **상관없음**: 두 가지 다 보여드릴게요
  [선택지: Square (34개) | Radius (32개) | 상관없음 | ⟵ 이전 단계]
👤 사용자: Radius (32개)
🤖 AI assistant [응답 👍] [선택지 👍]: **브랜드명:** ALU-CUT for Korean Market | **제품코드:** GED7210030
알루미늄 사이드 밀링용으로 **ALU-CUT E5D72 시리즈 GED7210030**을 추천드립니다.
**추천 근거:**
1. **소재 최적화**: 알루미늄 전용 3날 설계로 칩 배출이 원활하고 표면조도가 우수합니다 (N군 완전 매칭)
2. **직경 정확**: 요청하신 φ10mm 그대로 적용 가능합니다
3. **검증된 절삭조건**: Vc=251m/min, fz=0.051mm로 안정적인 가공 데이터가 확보되어 있습니다 (신뢰도 90%)
**제품 구분:**
- GED 계열 (GED7210030, GED7210020 등): 날길이 차이 (30mm, 20mm...)
- E5D 계열 (E5D7210030, E5D7210020 등): GED와 동일 스펙, 형번 체계만 다름
**주의사항:**
- 재고 상태가 limited로 확인됩니다. 납기는 영업소(032-526-0909)에 확인 필요합니다
- 날길이에 따라 10개 모델이 있으니 가공 깊이에 맞춰 선택하세요 (5mm~30mm)
**절삭조건 (알루미늄 기준):**
- 절삭속도(Vc): 251 m/min
- 날당이송(fz): 0.051 mm
- 축방향절입(ap): 2mm (0.2D)
📋 **Reference:** YG-1 내부 DB (catalog_spec, cutting_condition, inventory)
  [선택지: 대체 후보 4개 비교하기 | 절삭조건 알려줘 | 왜 이 제품을 추천했나요? | 다른 코팅 옵션 보기]</t>
  </si>
  <si>
    <t>🎯 의도: 알루미늄 연질의 10mm 사이드 밀링용 라운드(라디우스) 엔드밀 추천
✅ 정답 행동: 알루미늄(연질) 조건에 맞는 φ10 라운드 엔드밀을 실제 후보 중에서 추천하고, 제품명/코드와 함께 기본 절삭조건 및 재고·납기 주의사항을 안내해야 함.
⚠️ 당시 문제: 특이사항 없음
💬 코멘트 분석: 최종 평가와 각 응답/선택지가 모두 긍정이라 추가 불만이나 수정 요구 없음</t>
  </si>
  <si>
    <t>tf-evt-mn50bwhe-m8sl5qxt</t>
  </si>
  <si>
    <t>RLH-0094</t>
  </si>
  <si>
    <t>알루미늄용 엔드밀 형상·날수 추천 요청</t>
  </si>
  <si>
    <t>🧭 초기 조건: 문의 목적=신규 제품 추천 / 피삭재 (소재)=알루미늄 / 가공 방식=Milling
🤖 AI assistant [응답 👍] [선택지 👍]: 알루미늄 밀링 가공용 엔드밀을 찾고 계시군요. 현재 1,852개 제품이 매칭됩니다.
알루미늄 중에서도 어떤 종류인가요? (연질/단조합금/주조합금 등)
  [선택지: 알루미늄 | 알루미늄 (연질) | 알루미늄 단조 합금 | 알루미늄 주조 합금 | 알루미늄 합금 …]
👤 사용자: slot 가공할 때는 ball 엔드밀이 좋은가요? 어떤 날 형상이 제일 좋나요?
🤖 AI assistant [응답 👍] [선택지 👍]: 슬롯 가공에서는 일반적으로 **평 엔드밀(flat end mill)**이 훨씬 유리합니다. 볼 엔드밀은 중심에 절삭력이 없어 바닥면이 깨끗하게 가공되지 않고 효율도 떨어집니다.
**알루미늄 슬롯 가공 시 날 형상 권장:**
- **2~3날**: 칩 배출 공간이 넓어 알루미늄처럼 긴 칩이 나오는 소재에 최적
- **헬릭스 각**: 45° 이상 (위 추천 제품들도 45° 헬릭스 적용)
- **무코팅**: 알루미늄은 구성인선 방지를 위해 Bright Finish(무코팅)가 유리
📌 **웹 검색 참고 (내부 DB 외부 정보)**: 볼 엔드밀은 마이크로 슬롯처럼 얕은 패스에서 팁 강도가 필요할 때는 유용하지만, 일반 슬롯에서는 평 엔드밀 대비 효율이 낮습니다. 알루미늄/비철재는 2~3날, 강철계는 4날이 업계 표준입니다.
  [선택지: 쉽게 설명해줘 | 추천으로 골라줘 | 상관없음 | 알루미늄이란? | 알루미늄 (연질)이란? …]
👤 사용자: 알루미늄 (연질)이란?
🤖 AI assistant [응답 👍] [선택지 👍]: # 알루미늄 (연질) 설명
**알루미늄 (연질)**은 가공 대상 소재(피삭재) 중 하나입니다.
순수 알루미늄이나 합금 함량이 적은 연한 재질의 알루미늄을 의미하며, 경도가 낮고 절삭 가공이 용이합니다. 항공기 부품, 전자제품 케이스, 일반 구조물 등에 많이 사용되며, 절삭 시 칩 배출이 원활하고 가공 속도를 높일 수 있는 특징이 있습니다.
현재 이 소재에 적합한 추천 제품이 없습니다. 다른 소재를 선택하시거나 **"상관없음"**을 선택하여 더 넓은 범위의 제품을 확인해보세요.
  [선택지: 쉽게 설명해줘 | 추천으로 골라줘 | 상관없음 | 알루미늄이란? | 알루미늄 …]
👤 사용자: 알루미늄
🤖 AI assistant [응답 👍] [선택지 👍]: 알루미늄 가공용 엔드밀이죠. 날 수(flute)는 2날/3날/4날 중 선호하시는 게 있으신가요? 없으면 바로 추천 드릴게요.
  [선택지: 3날 (177개) | 4날 (49개) | 2날 (49개) | 상관없음 | ⟵ 이전 단계]
👤 사용자: 볼 엔드밀과 평 엔드밀 설명
🤖 AI assistant [응답 👍] [선택지 👍]: ## 볼 엔드밀 vs 평 엔드밀
**평 엔드밀**은 날 끝이 평평해서 평면 가공, 슬롯, 측면 가공에 적합하며 절삭력이 높아 황삭용으로 많이 씁니다. 날카로운 모서리를 만들 수 있고 소재 제거 속도가 빠릅니다.
**볼 엔드밀**은 날 끝이 반구형이라 곡면·3D 형상 가공에 특화되어 있고, 주로 정밀 정삭용으로 사용됩니다. 급경사면이나 복잡한 윤곽도 매끄럽게 처리할 수 있지만, 같은 면조도를 내려면 평 엔드밀보다 훨씬 많은 패스가 필요합니다.
알루미늄 가공 시에는 두 종류 모두 무코팅(Bright Finish)이나 DLC 코팅을 권장하며, 날수는 3날이 표준입니다.
📌 **웹 검색 참고 (내부 DB 외부 정보)**: 평 엔드밀은 러핑, 볼 엔드밀은 피니싱 용도로 구분되며, 볼 엔드밀 사용 시 공구경로 계산량이 최대 10배 증가합니다.
  [선택지: 쉽게 설명해줘 | 추천으로 골라줘 | 상관없음 | 3날이란? | 3날]
👤 사용자: 3날
🤖 AI assistant [응답 👍] [선택지 👍]: 3날은 이미 적용되어 177개로 좁혔습니다. 이제 공구 끝 형상을 선택하세요:
• Square (평날, 98개) - 모서리 가공, 슬롯 작업
• Radius (R날, 79개) - 곡면, 마모 분산
어떤 게 필요하세요?
  [선택지: Square (98개) | Radius (79개) | 상관없음 | ⟵ 이전 단계]</t>
  </si>
  <si>
    <t>🎯 의도: 알루미늄 가공에 적합한 엔드밀의 형상과 날수를 알고 싶음
✅ 정답 행동: 슬롯 가공에는 보통 볼 엔드밀보다 평 엔드밀이 적합하다고 설명하고, 알루미늄에는 2~3날의 무코팅/저마찰 형상을 우선 추천했어야 함. 이후 사용 목적이 슬롯인지 곡면인지에 따라 Square/Radius 등 공구 끝 형상을 이어서 안내했어야 함.
⚠️ 당시 문제: 특이사항 없음
💬 코멘트 분석: 최종 평가상 응답·선택지 모두 적절했으며 추가 불만은 없음</t>
  </si>
  <si>
    <t>tf-evt-mn50t4oz-2nkklvzg</t>
  </si>
  <si>
    <t>RLH-0095</t>
  </si>
  <si>
    <t>알루미늄 슬롯용 엔드밀 형상과 날수 문의</t>
  </si>
  <si>
    <t>🧭 초기 조건: 문의 목적=신규 제품 추천 / 피삭재 (소재)=알루미늄 / 가공 방식=Milling
🤖 AI assistant [응답 👍] [선택지 👍]: 알루미늄 밀링 가공용 엔드밀을 찾고 계시군요. 현재 1,852개 제품이 매칭됩니다.
알루미늄 중에서도 어떤 종류인가요? (연질/단조합금/주조합금 등)
  [선택지: 알루미늄 | 알루미늄 (연질) | 알루미늄 단조 합금 | 알루미늄 주조 합금 | 알루미늄 합금 …]
👤 사용자: slot 가공할 때는 ball 엔드밀이 좋은가요? 어떤 날 형상이 제일 좋나요?
🤖 AI assistant [응답 👍] [선택지 👍]: 슬롯 가공에서는 일반적으로 **평 엔드밀(flat end mill)**이 훨씬 유리합니다. 볼 엔드밀은 중심에 절삭력이 없어 바닥면이 깨끗하게 가공되지 않고 효율도 떨어집니다.
**알루미늄 슬롯 가공 시 날 형상 권장:**
- **2~3날**: 칩 배출 공간이 넓어 알루미늄처럼 긴 칩이 나오는 소재에 최적
- **헬릭스 각**: 45° 이상 (위 추천 제품들도 45° 헬릭스 적용)
- **무코팅**: 알루미늄은 구성인선 방지를 위해 Bright Finish(무코팅)가 유리
📌 **웹 검색 참고 (내부 DB 외부 정보)**: 볼 엔드밀은 마이크로 슬롯처럼 얕은 패스에서 팁 강도가 필요할 때는 유용하지만, 일반 슬롯에서는 평 엔드밀 대비 효율이 낮습니다. 알루미늄/비철재는 2~3날, 강철계는 4날이 업계 표준입니다.
  [선택지: 쉽게 설명해줘 | 추천으로 골라줘 | 상관없음 | 알루미늄이란? | 알루미늄 (연질)이란? …]
👤 사용자: 알루미늄 (연질)이란?
🤖 AI assistant [응답 👍] [선택지 👍]: # 알루미늄 (연질) 설명
**알루미늄 (연질)**은 가공 대상 소재(피삭재) 중 하나입니다.
순수 알루미늄이나 합금 함량이 적은 연한 재질의 알루미늄을 의미하며, 경도가 낮고 절삭 가공이 용이합니다. 항공기 부품, 전자제품 케이스, 일반 구조물 등에 많이 사용되며, 절삭 시 칩 배출이 원활하고 가공 속도를 높일 수 있는 특징이 있습니다.
현재 이 소재에 적합한 추천 제품이 없습니다. 다른 소재를 선택하시거나 **"상관없음"**을 선택하여 더 넓은 범위의 제품을 확인해보세요.
  [선택지: 쉽게 설명해줘 | 추천으로 골라줘 | 상관없음 | 알루미늄이란? | 알루미늄 …]
👤 사용자: 알루미늄
🤖 AI assistant [응답 👍] [선택지 👍]: 알루미늄 가공용 엔드밀이죠. 날 수(flute)는 2날/3날/4날 중 선호하시는 게 있으신가요? 없으면 바로 추천 드릴게요.
  [선택지: 3날 (177개) | 4날 (49개) | 2날 (49개) | 상관없음 | ⟵ 이전 단계]
👤 사용자: 볼 엔드밀과 평 엔드밀 설명
🤖 AI assistant [응답 👍] [선택지 👍]: ## 볼 엔드밀 vs 평 엔드밀
**평 엔드밀**은 날 끝이 평평해서 평면 가공, 슬롯, 측면 가공에 적합하며 절삭력이 높아 황삭용으로 많이 씁니다. 날카로운 모서리를 만들 수 있고 소재 제거 속도가 빠릅니다.
**볼 엔드밀**은 날 끝이 반구형이라 곡면·3D 형상 가공에 특화되어 있고, 주로 정밀 정삭용으로 사용됩니다. 급경사면이나 복잡한 윤곽도 매끄럽게 처리할 수 있지만, 같은 면조도를 내려면 평 엔드밀보다 훨씬 많은 패스가 필요합니다.
알루미늄 가공 시에는 두 종류 모두 무코팅(Bright Finish)이나 DLC 코팅을 권장하며, 날수는 3날이 표준입니다.
📌 **웹 검색 참고 (내부 DB 외부 정보)**: 평 엔드밀은 러핑, 볼 엔드밀은 피니싱 용도로 구분되며, 볼 엔드밀 사용 시 공구경로 계산량이 최대 10배 증가합니다.
  [선택지: 쉽게 설명해줘 | 추천으로 골라줘 | 상관없음 | 3날이란? | 3날]
👤 사용자: 3날
🤖 AI assistant [응답 👍] [선택지 👍]: 3날은 이미 적용되어 177개로 좁혔습니다. 이제 공구 끝 형상을 선택하세요:
• Square (평날, 98개) - 모서리 가공, 슬롯 작업
• Radius (R날, 79개) - 곡면, 마모 분산
어떤 게 필요하세요?
  [선택지: Square (98개) | Radius (79개) | 상관없음 | ⟵ 이전 단계]
👤 사용자: 각각 설명
🤖 AI assistant [응답 👍] [선택지 👍]: 현재 추천된 제품들은 모두 **ALU-CUT 3날 45° 헬릭스 롱넥 엔드밀**로, 알루미늄 가공에 최적화된 시리즈입니다. 직경별로 구분되며:
**φ12mm 제품(#1~3)**: 넓은 가공 면적, 길이 40/50/60mm로 깊이 차이 
**φ10mm 제품(#4~6)**: 범용성 높음, 35/45/55mm 길이 선택 
**φ8mm 제품(#7~9)**: 중소형 부품, 30/40/50mm 깊이 
**φ6mm 제품(#10)**: 정밀/좁은 공간, 45mm 깊이
모두 3날 구조로 칩 배출이 원활하고, Bright Finish(무코팅)로 알루미늄 구성인선 방지에 효과적입니다. 가공 깊이에 따라 롱넥 길이를 선택하시면 됩니다.
다시 제품 추천으로 돌아갈게요. 3날은 이미 적용되어 177개로 좁혔습니다. 이제 공구 끝 형상을 선택하세요:
• Square (평날, 98개) - 모서리 가공, 슬롯 작업
• Radius (R날, 79개) -
  [선택지: Square (98개) | Radius (79개) | 상관없음 | ⟵ 이전 단계]</t>
  </si>
  <si>
    <t>🎯 의도: 알루미늄 가공용 엔드밀에서 슬롯에 적합한 형상과 날수 확인
✅ 정답 행동: 슬롯 가공에는 볼 엔드밀보다 평 엔드밀이 적합하다고 설명하고, 알루미늄이면 2~3날 중심으로 추천했어야 한다. 이후 사용 목적이 슬롯인지 평면/곡면인지에 따라 Square vs Radius를 구분해 다음 선택지를 제시해야 한다.
⚠️ 당시 문제: 특이사항 없음
💬 코멘트 분석: 코멘트 없음</t>
  </si>
  <si>
    <t>tf-evt-mn50vcek-6fbizb9x</t>
  </si>
  <si>
    <t>RLH-0096</t>
  </si>
  <si>
    <t>티타늄 슬로팅용 4날 제품에서 코팅 선택 요청</t>
  </si>
  <si>
    <t>🧭 초기 조건: 문의 목적=신규 제품 추천 / 피삭재 (소재)=티타늄 / 가공 형상=Slotting / 가공 방식=Milling
🤖 AI assistant [응답 👍] [선택지 👍]: 티타늄 소재를 슬로팅 가공하시는군요. 현재 2,465개 제품이 매칭됩니다.
티타늄 중에서도 **순티타늄(Grade 2)인지, 합금(Ti-6Al-4V 등)인지** 알려주시겠어요? 아니면 "상관없음"으로 진행할까요?
  [선택지: 내열합금 | 니켈 기반 내열합금 | 인코넬 | 철 기반 내열합금 | 코발트 기반 내열합금 …]
👤 사용자: 상관없음
🤖 AI assistant [응답 👍] [선택지 👍]: 현재 2465개 후보가 있습니다. 날 수(flute) 선호가 있으신가요?
  [선택지: 4날 (799개) | 2날 (656개) | 6날 (479개) | 5날 (319개) | 상관없음 …]
👤 사용자: 4날 (799개)
🤖 AI assistant [응답 👍] [선택지 👍]: 4날로 좁혔습니다. 코팅은 어떤 걸 선호하시나요? Y-Coating(범용), K2(고경도), TiAlN(내열) 중 선택하시거나 '상관없음'이라고 하셔도 됩니다.
  [선택지: Y-Coating (368개) | TiAlN (175개) | AlTiN (118개) | T-Coating (96개) | 상관없음 …]</t>
  </si>
  <si>
    <t>🎯 의도: 티타늄 슬롯 가공용 공구를 단계적으로 추천받기
✅ 정답 행동: 4날 선택을 반영해 후보를 줄인 뒤, 코팅 선호를 묻는 흐름은 적절함. 다음엔 사용 조건에 맞는 코팅을 추천하거나 상관없음 기준으로 최적안을 제시했어야 함.
⚠️ 당시 문제: 특이사항 없음
💬 코멘트 분석: 최종 평가가 전반적으로 긍정적이라 추가 불만이나 수정 요구 없음</t>
  </si>
  <si>
    <t>tf-evt-mn5frp46-0pkdgtvc</t>
  </si>
  <si>
    <t>RLH-0097</t>
  </si>
  <si>
    <t>티타늄 φ10 헬리컬 밀링커터를 4날로 추천 원함</t>
  </si>
  <si>
    <t>🧭 초기 조건: 문의 목적=신규 제품 추천 / 피삭재 (소재)=티타늄 / 가공 형상=Helical Interpolation / 가공 방식=Milling / 공구 직경=10mm
🤖 AI assistant [응답 👍] [선택지 👍]: 티타늄 소재에 φ10mm 헬리컬 가공용 밀링커터를 찾으시는군요. 현재 220개 제품이 매칭됩니다.
티타늄 중에서도 어떤 소재인가요? 순수 티타늄인지, Ti-6Al-4V 같은 합금인지 알려주시면 더 정확한 추천이 가능합니다.
  [선택지: 내열합금 | 니켈 기반 내열합금 | 인코넬 | 철 기반 내열합금 | 코발트 기반 내열합금 …]
👤 사용자: 상관없음
🤖 AI assistant [응답 👍] [선택지 👍]: 현재 220개 후보가 있습니다. 날 수(flute) 선호가 있으신가요?
  [선택지: 4날 (132개) | 6날 (58개) | 5날 (23개) | 3날 (7개) | 상관없음 …]
👤 사용자: 4날 (132개)
🤖 AI assistant [응답 👍]: 4날로 좁혔습니다 (132개). 티타늄 가공용으로 코팅 종류 선호가 있으신가요? Y-Coating, AlTiN, TiAlN 등이 있습니다.
  [선택지: Y-Coating (82개) | T-Coating (31개) | AlTiN (9개) | K2 (7개) | 상관없음 …]</t>
  </si>
  <si>
    <t>🎯 의도: 티타늄용 10mm 헬리컬 가공 밀링커터 추천
✅ 정답 행동: 티타늄/φ10/Helical Interpolation 조건으로 후보를 좁히고, 사용자 선택에 따라 날 수를 반영해 다음 핵심 선택지(코팅·재질·절삭조건)로 이어가야 함.
⚠️ 당시 문제: 특이사항 없음
💬 코멘트 분석: 3회 응답과 2회 선택지 모두 적절해 전반적으로 흐름이 좋았다는 평가</t>
  </si>
  <si>
    <t>최종 평가: 👍 / 응답: 👍3 총 3개 응답 / 선택지: 👍2</t>
  </si>
  <si>
    <t>tf-evt-mn5gpp22-e7us2d6j</t>
  </si>
  <si>
    <t>RLH-0098</t>
  </si>
  <si>
    <t>티타늄 φ10 슬로팅용 4날 공구 추천 요청</t>
  </si>
  <si>
    <t>🧭 초기 조건: 문의 목적=신규 제품 추천 / 피삭재 (소재)=티타늄 / 가공 형상=Slotting / 가공 방식=Milling / 공구 직경=10mm
🤖 AI assistant [응답 👎] [선택지 👎]: 티타늄 소재에 φ10mm 슬로팅 가공이시군요. 현재 353개 제품이 매칭됩니다.
티타늄 중에서도 어떤 재질인가요? 인코넬, 티타늄 합금 같은 세부 소재를 알려주시면 더 정확하게 추천드릴게요.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
👤 사용자: 4날 (200개)
🤖 AI assistant [응답 👍] [선택지 👍]: 4날로 200개까지 줄였습니다.
티타늄 슬로팅에는 **GMG55(V7 PLUS)**나 **GMG40(TitaNox-Power)**가 적합합니다.
- GMG55: 범용성 높고 내열성 우수 (H/K/M/P/S 전 소재)
- GMG40: 티타늄 특화 설계, 절삭유 적용 시 안정적
코팅 선호가 있으신가요? (Y-Coating, K2, TiAlN 등)
  [선택지: Y-Coating (71개) | TiAlN (57개) | AlTiN (33개) | T-Coating (31개) | 상관없음 …]</t>
  </si>
  <si>
    <t>🎯 의도: 티타늄 10mm 슬롯팅에 맞는 밀링 공구를 추천받고 싶음
✅ 정답 행동: 소재가 티타늄이고 가공이 Slotting/Milling, 직경 10mm인 조건에 맞는 후보를 제시하고, 4날 선호를 반영해 적합 공구를 좁혀야 함. 필요 시 티타늄용 코팅/용도 차이를 간단히 안내하며 추가 선택지로 이어가면 됨.
⚠️ 당시 문제: 특이사항 없음
💬 코멘트 분석: 선택지 응답은 대체로 적절하며, 최종 평가상 일부 초기 응답만 아쉬웠다는 의미임</t>
  </si>
  <si>
    <t>tf-evt-mn5h8qcn-3l997rcc</t>
  </si>
  <si>
    <t>RLH-0099</t>
  </si>
  <si>
    <t>알루미늄 φ10 밀링용 공구 비교·설명 요청</t>
  </si>
  <si>
    <t>🧭 초기 조건: 문의 목적=신규 제품 추천 / 피삭재 (소재)=알루미늄 / 가공 방식=Milling / 공구 직경=10mm
🤖 AI assistant [응답 👍] [선택지 👍]: 알루미늄 소재를 φ10mm 밀링 가공하시는군요. 현재 424개 제품이 매칭됩니다.
작업하실 알루미늄이 순수 알루미늄인가요, 아니면 7075 같은 합금인가요? (소재 특성에 따라 날 형상과 코팅이 달라집니다)
  [선택지: 비철금속 | 알루미늄 | 알루미늄 합금 | 상관없음]
👤 사용자: 비철금속
🤖 AI assistant [응답 👍] [선택지 👍]: 네, 비철금속(알루미늄) 가공용으로 좁혔습니다.
현재 10mm 3날 엔드밀 56개 중에서, **코너 형상**이 중요합니다:
• **Square (24개)**: 직각 코너, 측면·바닥 정밀 가공
• **Radius (32개)**: 둥근 코너, 공구 수명 향상, 곡면 가공
어떤 형상이 필요하신가요? 또는 "상관없음"이라고 하시면 범용 제품을 추천드립니다.
  [선택지: Radius (32개) | Square (24개) | 상관없음 | ⟵ 이전 단계]
👤 사용자: 그것들 차이가 뭐야 ?
🤖 AI assistant [응답 👍] [선택지 👍]: 현재 선택하신 조건들로는 추천 가능한 제품이 없습니다.
**toolSubtype(공구 세부 타입)**은 엔드밀의 구체적인 형상을 나타냅니다. 예를 들어 스퀘어(평면 가공용), 볼(곡면 가공용), 라디우스(모서리 R 가공용) 등이 있습니다.
이전 선택 조건을 일부 변경하시면 추천 가능한 제품이 나타날 수 있으며, 특별한 선호가 없으시다면 "상관없음"을 선택하셔도 됩니다.
어떤 조건을 조정해드릴까요?
  [선택지: 쉽게 설명해줘 | 추천으로 골라줘 | 상관없음 | Radius란? | Square란? …]
👤 사용자: Radius란?
🤖 AI assistant [응답 👍] [선택지 👍]: **Tool Subtype - Radius에 대한 설명**
Radius는 공구의 코너 또는 날끝 형상을 나타내는 타입입니다. 일반적으로 엔드밀이나 인서트에서 코너 R(반경) 값을 가진 제품을 의미하며, 가공 시 표면 조도를 개선하고 날 강도를 높이는 역할을 합니다.
현재 필터 조건에서는 Radius 타입의 후보가 없는 상태입니다. 다른 Tool Subtype을 선택하시거나, 이전 단계의 필터 조건을 조정하시면 더 많은 옵션을 확인하실 수 있습니다. 이 항목이 중요하지 않다면 "상관없음"을 선택하셔도 됩니다.
  [선택지: 쉽게 설명해줘 | 추천으로 골라줘 | 상관없음 | Radius란? | Square란? …]
👤 사용자: Square란?
🤖 AI assistant [응답 👍] [선택지 👍]: **공구 서브타입(toolSubtype) - Square 설명**
Square는 **엔드밀의 날 끝 형태**를 나타냅니다. Square 엔드밀은 날 끝이 평평하고 직각으로 되어 있어, 평면 가공이나 측면 가공, 홈 가공에 주로 사용됩니다.
현재 검색 조건으로는 **0개의 후보**가 있습니다. 다른 조건(소재, 코팅, 직경 등)을 조정하시거나, 이 항목을 **"상관없음"으로 선택**하여 더 많은 제품을 찾아보실 수 있습니다.
추가로 궁금한 점이 있으시면 말씀해 주세요!
  [선택지: 쉽게 설명해줘 | 추천으로 골라줘 | 상관없음 | Radius란? | Square란? …]
👤 사용자: E5E8310055, E5E8310045 시리즈의 차이는?
🤖 AI assistant [응답 👍] [선택지 👎]: # YG-1 절삭공구 비교 분석
## 제품 비교표
| 항목 | GEE8310055 | GEE8310045 |
|---|---|---|
| **제품코드** | GEE8310055 | GEE8310045 |
| **시리즈** | E5E83 | E5E83 |
| **브랜드** | ALU-CUT for Korean Market | ALU-CUT for Korean Market |
| **직경** | 10mm | 10mm |
| **날수** | 3날 | 3날 |
| **헬릭스각** | 45° | 45° |
| **코팅** | Bright Finish | Bright Finish |
| **적합 소재** | N (비철금속) | N (비철금속) |
| **매칭 점수** | 85점 (approximate) | 85점 (approximate) |
| **절삭조건** | 없음 | 없음 |
| **재고 상태** | unknown | unknown |
## 제품별 특징
**GEE8310055**
- Long Neck 타입으로 깊은 홈 가공에 유리
- 제품코드 끝자리(55)가 길이 규격을 의미할 가능성
**GEE8310045**
- 동일 시리즈의 Long Neck 타입
- 제품코드 끝자리(45)가 상대적으로 짧은 길이 규격일 가능성
## 결론 및 추천
두 제품은 **동일한 시리즈와 사양**을 가진 알루미늄 가공용 엔드밀이며, 주요 차이는 **제품코드 끝자리(055 vs 045)**로 추정되는 **전체 길이(Overall Length) 또는 날 길이(Flute Length)의 차이**입니다.
- **GEE8310055**: 더 깊은 가공 깊이가 필요한 경우 선택
- **GEE8310045**: 일반적인 깊이의 알루미늄 가공 시 강성이 더 우수하여 추천
정확한 길이 정보 확인 후 가공 깊이에 따라 선택하시기 바랍니다.
[Reference: YG-1 내부 DB]
  [선택지: 추천해주세요 | 다른 조건으로 | ⟵ 이전 단계 | 처음부터 다시]
👤 사용자: E5E8310055, E5E8310045 시리즈의 차이는?
 인데, 왜 GEE8310055 GEE8310045 알려줘?
🤖 AI assistant [응답 👍] [선택지 👍]: 좋은 질문입니다! 사용자님께서 **E5E8310055, E5E8310045** 시리즈의 차이를 물어보셨는데, 시스템이 **GEE8310055, GEE8310045**도 함께 보여준 이유를 설명드리겠습니다.
## 이유:
현재 적용된 필터 조건(**비철금속 가공**)과 시스템의 추천 알고리즘이 작동한 결과입니다:
1. **GEE83 시리즈와 E5E83 시리즈는 같은 제품군**입니다
 - 둘 다 **E5E83** 시리즈에 속하는 3날(3F) 엔드밀입니다
 - 직경 φ10mm, Bright Finish 코팅 동일
 - **approximate 85점**으로 동일한 적합도 점수
2. **제품 코드 차이**:
 - **GEE83xxxxx**: 일반형 제품 코드
 - **E5E83xxxxx**: 동일 시리즈의 다른 규격 또는 변형
3. **뒤 5자리 숫자 (10055, 10045, 10035 등)**:
 - 전체길이(OAL), 절삭날길이(LOC) 등 **세부 치수 규격**을 나타냅니다
 - 같은 시리즈 내에서 길이별 라인업
## 차이점 확인 방법:
상위 5개 제품의 구체적인 스펙 차이를 보시려면:
```
1번이랑 4번 비교해줘
```
또는
```
상위 3개 비교해줘
```
라고 말씀해주시면 **정확한 치수 차이**(전체길이, 날길이 등)를 비교해드리겠습니다!
현재 모두 **approximate 85점**으로 비슷한 적합도를 보이고 있어, 구체적인 가공 조건(홀 깊이, 돌출 길이 등)에 따라 선택하시면 됩니다.
[Reference: YG-1 내부 DB]
  [선택지: 쉽게 설명해줘 | 추천으로 골라줘 | 상관없음 | Radius란? | Square란? …]
👤 사용자: Radius
🤖 AI assistant [응답 👍] [선택지 👍]: **브랜드명:** ALU-CUT for Korean Market | **제품코드:** GED7210030
알루미늄 밀링용으로 ALU-CUT E5D72 GED7210030을 추천드립니다.
✓ 요청하신 직경 10mm 정확 일치
✓ 비철금속 전용 3날 설계 — 칩 배출 원활, 절삭저항 분산
✓ Bright Finish 코팅 — 알루미늄 용착 방지
절삭조건: Vc=251m/min, fz=0.051mm/tooth, 절입깊이=0.2D (신뢰도 90%)
⚠️ 현재 재고 limited — 주문 전 본사(032-526-0909) 재고 확인 권장
동일 스펙 대안 9개 있습니다(E5D7210030 등). 코너 R 없는 스퀘어 타입 필요시 E5D72 표준형으로 변경 가능합니다.
📋 Reference: YG-1 내부 DB
  [선택지: 대체 후보 4개 비교하기 | 절삭조건 알려줘 | 왜 이 제품을 추천했나요? | 다른 코팅 옵션 보기]</t>
  </si>
  <si>
    <t>🎯 의도: 알루미늄 φ10 밀링 공구의 Radius/Square 차이와 제품 비교 확인
✅ 정답 행동: 사용자가 물은 것은 E5E8310055와 E5E8310045의 차이였으므로, 해당 두 제품의 실제 규격 차이를 정확히 비교해줘야 한다. GEE8310055/GEE8310045로 임의 변경해 답하지 말고, 모르면 확인 불가를 밝히고 원 제품 기준으로 재검색 또는 스펙 비교를 진행해야 한다.
⚠️ 당시 문제: 질문한 제품코드가 아닌 다른 코드(GEE)로 비교해 혼동을 유발함
💬 코멘트 분석: 왜 다른 제품코드로 답했는지에 대한 정확한 근거와 원문 코드 기준 답변을 요구함</t>
  </si>
  <si>
    <t>tf-evt-mn5hzsnx-0lgujwva</t>
  </si>
  <si>
    <t>RLH-0100</t>
  </si>
  <si>
    <t>알루미늄 φ10 엔드밀 추천 이유 확인</t>
  </si>
  <si>
    <t>🧭 초기 조건: 문의 목적=신규 제품 추천 / 피삭재 (소재)=알루미늄 / 가공 방식=Milling / 공구 직경=10mm
🤖 AI assistant [응답 👍] [선택지 👍]: 알루미늄 소재를 φ10mm 밀링 가공하시는군요. 현재 424개 제품이 매칭됩니다.
작업하실 알루미늄이 순수 알루미늄인가요, 아니면 7075 같은 합금인가요? (소재 특성에 따라 날 형상과 코팅이 달라집니다)
  [선택지: 비철금속 | 알루미늄 | 알루미늄 합금 | 상관없음]
👤 사용자: 비철금속
🤖 AI assistant [응답 👍] [선택지 👍]: 네, 비철금속(알루미늄) 가공용으로 좁혔습니다.
현재 10mm 3날 엔드밀 56개 중에서, **코너 형상**이 중요합니다:
• **Square (24개)**: 직각 코너, 측면·바닥 정밀 가공
• **Radius (32개)**: 둥근 코너, 공구 수명 향상, 곡면 가공
어떤 형상이 필요하신가요? 또는 "상관없음"이라고 하시면 범용 제품을 추천드립니다.
  [선택지: Radius (32개) | Square (24개) | 상관없음 | ⟵ 이전 단계]
👤 사용자: 그것들 차이가 뭐야 ?
🤖 AI assistant [응답 👍] [선택지 👍]: 현재 선택하신 조건들로는 추천 가능한 제품이 없습니다.
**toolSubtype(공구 세부 타입)**은 엔드밀의 구체적인 형상을 나타냅니다. 예를 들어 스퀘어(평면 가공용), 볼(곡면 가공용), 라디우스(모서리 R 가공용) 등이 있습니다.
이전 선택 조건을 일부 변경하시면 추천 가능한 제품이 나타날 수 있으며, 특별한 선호가 없으시다면 "상관없음"을 선택하셔도 됩니다.
어떤 조건을 조정해드릴까요?
  [선택지: 쉽게 설명해줘 | 추천으로 골라줘 | 상관없음 | Radius란? | Square란? …]
👤 사용자: Radius란?
🤖 AI assistant [응답 👍] [선택지 👍]: **Tool Subtype - Radius에 대한 설명**
Radius는 공구의 코너 또는 날끝 형상을 나타내는 타입입니다. 일반적으로 엔드밀이나 인서트에서 코너 R(반경) 값을 가진 제품을 의미하며, 가공 시 표면 조도를 개선하고 날 강도를 높이는 역할을 합니다.
현재 필터 조건에서는 Radius 타입의 후보가 없는 상태입니다. 다른 Tool Subtype을 선택하시거나, 이전 단계의 필터 조건을 조정하시면 더 많은 옵션을 확인하실 수 있습니다. 이 항목이 중요하지 않다면 "상관없음"을 선택하셔도 됩니다.
  [선택지: 쉽게 설명해줘 | 추천으로 골라줘 | 상관없음 | Radius란? | Square란? …]
👤 사용자: Square란?
🤖 AI assistant [응답 👍] [선택지 👍]: **공구 서브타입(toolSubtype) - Square 설명**
Square는 **엔드밀의 날 끝 형태**를 나타냅니다. Square 엔드밀은 날 끝이 평평하고 직각으로 되어 있어, 평면 가공이나 측면 가공, 홈 가공에 주로 사용됩니다.
현재 검색 조건으로는 **0개의 후보**가 있습니다. 다른 조건(소재, 코팅, 직경 등)을 조정하시거나, 이 항목을 **"상관없음"으로 선택**하여 더 많은 제품을 찾아보실 수 있습니다.
추가로 궁금한 점이 있으시면 말씀해 주세요!
  [선택지: 쉽게 설명해줘 | 추천으로 골라줘 | 상관없음 | Radius란? | Square란? …]
👤 사용자: E5E8310055, E5E8310045 시리즈의 차이는?
🤖 AI assistant [응답 👍] [선택지 👎]: # YG-1 절삭공구 비교 분석
## 제품 비교표
| 항목 | GEE8310055 | GEE8310045 |
|---|---|---|
| **제품코드** | GEE8310055 | GEE8310045 |
| **시리즈** | E5E83 | E5E83 |
| **브랜드** | ALU-CUT for Korean Market | ALU-CUT for Korean Market |
| **직경** | 10mm | 10mm |
| **날수** | 3날 | 3날 |
| **헬릭스각** | 45° | 45° |
| **코팅** | Bright Finish | Bright Finish |
| **적합 소재** | N (비철금속) | N (비철금속) |
| **매칭 점수** | 85점 (approximate) | 85점 (approximate) |
| **절삭조건** | 없음 | 없음 |
| **재고 상태** | unknown | unknown |
## 제품별 특징
**GEE8310055**
- Long Neck 타입으로 깊은 홈 가공에 유리
- 제품코드 끝자리(55)가 길이 규격을 의미할 가능성
**GEE8310045**
- 동일 시리즈의 Long Neck 타입
- 제품코드 끝자리(45)가 상대적으로 짧은 길이 규격일 가능성
## 결론 및 추천
두 제품은 **동일한 시리즈와 사양**을 가진 알루미늄 가공용 엔드밀이며, 주요 차이는 **제품코드 끝자리(055 vs 045)**로 추정되는 **전체 길이(Overall Length) 또는 날 길이(Flute Length)의 차이**입니다.
- **GEE8310055**: 더 깊은 가공 깊이가 필요한 경우 선택
- **GEE8310045**: 일반적인 깊이의 알루미늄 가공 시 강성이 더 우수하여 추천
정확한 길이 정보 확인 후 가공 깊이에 따라 선택하시기 바랍니다.
[Reference: YG-1 내부 DB]
  [선택지: 추천해주세요 | 다른 조건으로 | ⟵ 이전 단계 | 처음부터 다시]
👤 사용자: E5E8310055, E5E8310045 시리즈의 차이는?
 인데, 왜 GEE8310055 GEE8310045 알려줘?
🤖 AI assistant [응답 👍] [선택지 👍]: 좋은 질문입니다! 사용자님께서 **E5E8310055, E5E8310045** 시리즈의 차이를 물어보셨는데, 시스템이 **GEE8310055, GEE8310045**도 함께 보여준 이유를 설명드리겠습니다.
## 이유:
현재 적용된 필터 조건(**비철금속 가공**)과 시스템의 추천 알고리즘이 작동한 결과입니다:
1. **GEE83 시리즈와 E5E83 시리즈는 같은 제품군**입니다
 - 둘 다 **E5E83** 시리즈에 속하는 3날(3F) 엔드밀입니다
 - 직경 φ10mm, Bright Finish 코팅 동일
 - **approximate 85점**으로 동일한 적합도 점수
2. **제품 코드 차이**:
 - **GEE83xxxxx**: 일반형 제품 코드
 - **E5E83xxxxx**: 동일 시리즈의 다른 규격 또는 변형
3. **뒤 5자리 숫자 (10055, 10045, 10035 등)**:
 - 전체길이(OAL), 절삭날길이(LOC) 등 **세부 치수 규격**을 나타냅니다
 - 같은 시리즈 내에서 길이별 라인업
## 차이점 확인 방법:
상위 5개 제품의 구체적인 스펙 차이를 보시려면:
```
1번이랑 4번 비교해줘
```
또는
```
상위 3개 비교해줘
```
라고 말씀해주시면 **정확한 치수 차이**(전체길이, 날길이 등)를 비교해드리겠습니다!
현재 모두 **approximate 85점**으로 비슷한 적합도를 보이고 있어, 구체적인 가공 조건(홀 깊이, 돌출 길이 등)에 따라 선택하시면 됩니다.
[Reference: YG-1 내부 DB]
  [선택지: 쉽게 설명해줘 | 추천으로 골라줘 | 상관없음 | Radius란? | Square란? …]
👤 사용자: Radius
🤖 AI assistant [응답 👍] [선택지 👍]: **브랜드명:** ALU-CUT for Korean Market | **제품코드:** GED7210030
알루미늄 밀링용으로 ALU-CUT E5D72 GED7210030을 추천드립니다.
✓ 요청하신 직경 10mm 정확 일치
✓ 비철금속 전용 3날 설계 — 칩 배출 원활, 절삭저항 분산
✓ Bright Finish 코팅 — 알루미늄 용착 방지
절삭조건: Vc=251m/min, fz=0.051mm/tooth, 절입깊이=0.2D (신뢰도 90%)
⚠️ 현재 재고 limited — 주문 전 본사(032-526-0909) 재고 확인 권장
동일 스펙 대안 9개 있습니다(E5D7210030 등). 코너 R 없는 스퀘어 타입 필요시 E5D72 표준형으로 변경 가능합니다.
📋 Reference: YG-1 내부 DB
  [선택지: 대체 후보 4개 비교하기 | 절삭조건 알려줘 | 왜 이 제품을 추천했나요? | 다른 코팅 옵션 보기]
👤 사용자: 왜 이 제품을 추천했나요?
🤖 AI assistant [응답 👍] [선택지 👍]: 알루미늄 가공에 최적화된 **ALU-CUT 시리즈 3날 엔드밀**을 추천드렸습니다. 
이 제품들은 45° 나선각과 코너 R 형상으로 알루미늄 가공 시 구성인선을 방지하고 칩 배출이 원활합니다. 3날 설계는 고속 가공과 우수한 면조도를 동시에 확보할 수 있으며, 무코팅(Bright Finish)으로 알루미늄 특유의 점착성을 최소화합니다. φ10mm는 범용성이 높아 다양한 알루미늄 부품 가공에 적합하며, 코너 R 반경(0.5~3mm)별로 황삭부터 정삭까지 선택 가능합니다.
  [선택지: 쉽게 설명해줘 | 추천으로 골라줘 | 상관없음 | recommendation_rationale 설명해줘]</t>
  </si>
  <si>
    <t>🎯 의도: 추천된 공구가 왜 선택됐는지 이유를 알고 싶음
✅ 정답 행동: ALU-CUT E5D72/GED7210030가 알루미늄 밀링에 적합한 이유를 사용자가 이해하기 쉽게 설명해야 함. 현재 필터(알루미늄/비철금속, φ10, 3날, Bright Finish, 코너 R/Radius)가 제품 특성과 어떻게 맞는지 구체적으로 연결해 주고, 필요하면 스퀘어 타입과의 차이도 짧게 안내했어야 함.
⚠️ 당시 문제: "왜 이 제품을 추천했나요?"에 대해 제품명/시리즈명보다 추천 근거 중심 설명이 필요했음
💬 코멘트 분석: 최종 평가는 좋지만, 마지막 응답은 추천 사유를 사용자가 이해할 수 있게 더 명확히 설명해 달라는 요구가 핵심</t>
  </si>
  <si>
    <t>최종 평가: 👍 / 응답: 👍9 총 9개 응답 / 선택지: 👍8 👎1</t>
  </si>
  <si>
    <t>tf-evt-mn5i1fue-v03uylbh</t>
  </si>
  <si>
    <t>RLH-0101</t>
  </si>
  <si>
    <t>티타늄 10mm 슬로팅용 4날 코팅 추천 요청</t>
  </si>
  <si>
    <t>🧭 초기 조건: 문의 목적=신규 제품 추천 / 피삭재 (소재)=티타늄 / 가공 형상=Slotting / 가공 방식=Milling / 공구 직경=10mm
🤖 AI assistant [응답 👍] [선택지 👍]: 티타늄 소재 10mm 슬로팅 가공이시군요. 현재 353개 제품이 매칭됩니다.
티타늄 중에서도 **순티타늄인지, 티타늄 합금(Ti-6Al-4V 등)인지, 아니면 인코넬 같은 내열합금**인지 알려주시면 더 정확한 추천이 가능합니다.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
👤 사용자: 4날 (200개)
🤖 AI assistant [응답 👍] [선택지 👍]: 4날로 좁혔습니다. 코팅은 어떤 걸로 하시겠어요? Y-Coating(범용성 좋음), K2(내열성 강함), TiAlN(경제적) 중에 선호하시는 게 있으신가요?
  [선택지: Y-Coating (71개) | TiAlN (57개) | AlTiN (33개) | T-Coating (31개) | 상관없음 …]</t>
  </si>
  <si>
    <t>🎯 의도: 티타늄 소재 슬롯 가공에 맞는 10mm 엔드밀 추천
✅ 정답 행동: 소재가 티타늄으로만 주어졌으므로 합금 여부를 추가 확인하되, 사용자가 “상관없음”이라 했으면 4날 기준으로 코팅/재종까지 바로 좁혀 다음 추천 단계로 이어가야 함.
⚠️ 당시 문제: 특이사항 없음
💬 코멘트 분석: 최종적으로 대화 흐름과 응답은 적절했지만, 선택지는 한 단계 더 구체적인 추천으로 이어지게 설계되어야 함</t>
  </si>
  <si>
    <t>tf-evt-mn5i264m-0vebkvca</t>
  </si>
  <si>
    <t>RLH-0102</t>
  </si>
  <si>
    <t>사용자는 E5E8310055/0045 차이와 추천근거를 물음</t>
  </si>
  <si>
    <t>🧭 초기 조건: 문의 목적=신규 제품 추천 / 피삭재 (소재)=알루미늄 / 가공 방식=Milling / 공구 직경=10mm
🤖 AI assistant [응답 👍] [선택지 👍]: 알루미늄 소재를 φ10mm 밀링 가공하시는군요. 현재 424개 제품이 매칭됩니다.
작업하실 알루미늄이 순수 알루미늄인가요, 아니면 7075 같은 합금인가요? (소재 특성에 따라 날 형상과 코팅이 달라집니다)
  [선택지: 비철금속 | 알루미늄 | 알루미늄 합금 | 상관없음]
👤 사용자: 비철금속
🤖 AI assistant [응답 👍] [선택지 👍]: 네, 비철금속(알루미늄) 가공용으로 좁혔습니다.
현재 10mm 3날 엔드밀 56개 중에서, **코너 형상**이 중요합니다:
• **Square (24개)**: 직각 코너, 측면·바닥 정밀 가공
• **Radius (32개)**: 둥근 코너, 공구 수명 향상, 곡면 가공
어떤 형상이 필요하신가요? 또는 "상관없음"이라고 하시면 범용 제품을 추천드립니다.
  [선택지: Radius (32개) | Square (24개) | 상관없음 | ⟵ 이전 단계]
👤 사용자: 그것들 차이가 뭐야 ?
🤖 AI assistant [응답 👍] [선택지 👍]: 현재 선택하신 조건들로는 추천 가능한 제품이 없습니다.
**toolSubtype(공구 세부 타입)**은 엔드밀의 구체적인 형상을 나타냅니다. 예를 들어 스퀘어(평면 가공용), 볼(곡면 가공용), 라디우스(모서리 R 가공용) 등이 있습니다.
이전 선택 조건을 일부 변경하시면 추천 가능한 제품이 나타날 수 있으며, 특별한 선호가 없으시다면 "상관없음"을 선택하셔도 됩니다.
어떤 조건을 조정해드릴까요?
  [선택지: 쉽게 설명해줘 | 추천으로 골라줘 | 상관없음 | Radius란? | Square란? …]
👤 사용자: Radius란?
🤖 AI assistant [응답 👍] [선택지 👍]: **Tool Subtype - Radius에 대한 설명**
Radius는 공구의 코너 또는 날끝 형상을 나타내는 타입입니다. 일반적으로 엔드밀이나 인서트에서 코너 R(반경) 값을 가진 제품을 의미하며, 가공 시 표면 조도를 개선하고 날 강도를 높이는 역할을 합니다.
현재 필터 조건에서는 Radius 타입의 후보가 없는 상태입니다. 다른 Tool Subtype을 선택하시거나, 이전 단계의 필터 조건을 조정하시면 더 많은 옵션을 확인하실 수 있습니다. 이 항목이 중요하지 않다면 "상관없음"을 선택하셔도 됩니다.
  [선택지: 쉽게 설명해줘 | 추천으로 골라줘 | 상관없음 | Radius란? | Square란? …]
👤 사용자: Square란?
🤖 AI assistant [응답 👍] [선택지 👍]: **공구 서브타입(toolSubtype) - Square 설명**
Square는 **엔드밀의 날 끝 형태**를 나타냅니다. Square 엔드밀은 날 끝이 평평하고 직각으로 되어 있어, 평면 가공이나 측면 가공, 홈 가공에 주로 사용됩니다.
현재 검색 조건으로는 **0개의 후보**가 있습니다. 다른 조건(소재, 코팅, 직경 등)을 조정하시거나, 이 항목을 **"상관없음"으로 선택**하여 더 많은 제품을 찾아보실 수 있습니다.
추가로 궁금한 점이 있으시면 말씀해 주세요!
  [선택지: 쉽게 설명해줘 | 추천으로 골라줘 | 상관없음 | Radius란? | Square란? …]
👤 사용자: E5E8310055, E5E8310045 시리즈의 차이는?
🤖 AI assistant [응답 👍] [선택지 👎]: # YG-1 절삭공구 비교 분석
## 제품 비교표
| 항목 | GEE8310055 | GEE8310045 |
|---|---|---|
| **제품코드** | GEE8310055 | GEE8310045 |
| **시리즈** | E5E83 | E5E83 |
| **브랜드** | ALU-CUT for Korean Market | ALU-CUT for Korean Market |
| **직경** | 10mm | 10mm |
| **날수** | 3날 | 3날 |
| **헬릭스각** | 45° | 45° |
| **코팅** | Bright Finish | Bright Finish |
| **적합 소재** | N (비철금속) | N (비철금속) |
| **매칭 점수** | 85점 (approximate) | 85점 (approximate) |
| **절삭조건** | 없음 | 없음 |
| **재고 상태** | unknown | unknown |
## 제품별 특징
**GEE8310055**
- Long Neck 타입으로 깊은 홈 가공에 유리
- 제품코드 끝자리(55)가 길이 규격을 의미할 가능성
**GEE8310045**
- 동일 시리즈의 Long Neck 타입
- 제품코드 끝자리(45)가 상대적으로 짧은 길이 규격일 가능성
## 결론 및 추천
두 제품은 **동일한 시리즈와 사양**을 가진 알루미늄 가공용 엔드밀이며, 주요 차이는 **제품코드 끝자리(055 vs 045)**로 추정되는 **전체 길이(Overall Length) 또는 날 길이(Flute Length)의 차이**입니다.
- **GEE8310055**: 더 깊은 가공 깊이가 필요한 경우 선택
- **GEE8310045**: 일반적인 깊이의 알루미늄 가공 시 강성이 더 우수하여 추천
정확한 길이 정보 확인 후 가공 깊이에 따라 선택하시기 바랍니다.
[Reference: YG-1 내부 DB]
  [선택지: 추천해주세요 | 다른 조건으로 | ⟵ 이전 단계 | 처음부터 다시]
👤 사용자: E5E8310055, E5E8310045 시리즈의 차이는?
 인데, 왜 GEE8310055 GEE8310045 알려줘?
🤖 AI assistant [응답 👍] [선택지 👍]: 좋은 질문입니다! 사용자님께서 **E5E8310055, E5E8310045** 시리즈의 차이를 물어보셨는데, 시스템이 **GEE8310055, GEE8310045**도 함께 보여준 이유를 설명드리겠습니다.
## 이유:
현재 적용된 필터 조건(**비철금속 가공**)과 시스템의 추천 알고리즘이 작동한 결과입니다:
1. **GEE83 시리즈와 E5E83 시리즈는 같은 제품군**입니다
 - 둘 다 **E5E83** 시리즈에 속하는 3날(3F) 엔드밀입니다
 - 직경 φ10mm, Bright Finish 코팅 동일
 - **approximate 85점**으로 동일한 적합도 점수
2. **제품 코드 차이**:
 - **GEE83xxxxx**: 일반형 제품 코드
 - **E5E83xxxxx**: 동일 시리즈의 다른 규격 또는 변형
3. **뒤 5자리 숫자 (10055, 10045, 10035 등)**:
 - 전체길이(OAL), 절삭날길이(LOC) 등 **세부 치수 규격**을 나타냅니다
 - 같은 시리즈 내에서 길이별 라인업
## 차이점 확인 방법:
상위 5개 제품의 구체적인 스펙 차이를 보시려면:
```
1번이랑 4번 비교해줘
```
또는
```
상위 3개 비교해줘
```
라고 말씀해주시면 **정확한 치수 차이**(전체길이, 날길이 등)를 비교해드리겠습니다!
현재 모두 **approximate 85점**으로 비슷한 적합도를 보이고 있어, 구체적인 가공 조건(홀 깊이, 돌출 길이 등)에 따라 선택하시면 됩니다.
[Reference: YG-1 내부 DB]
  [선택지: 쉽게 설명해줘 | 추천으로 골라줘 | 상관없음 | Radius란? | Square란? …]
👤 사용자: Radius
🤖 AI assistant [응답 👍] [선택지 👍]: **브랜드명:** ALU-CUT for Korean Market | **제품코드:** GED7210030
알루미늄 밀링용으로 ALU-CUT E5D72 GED7210030을 추천드립니다.
✓ 요청하신 직경 10mm 정확 일치
✓ 비철금속 전용 3날 설계 — 칩 배출 원활, 절삭저항 분산
✓ Bright Finish 코팅 — 알루미늄 용착 방지
절삭조건: Vc=251m/min, fz=0.051mm/tooth, 절입깊이=0.2D (신뢰도 90%)
⚠️ 현재 재고 limited — 주문 전 본사(032-526-0909) 재고 확인 권장
동일 스펙 대안 9개 있습니다(E5D7210030 등). 코너 R 없는 스퀘어 타입 필요시 E5D72 표준형으로 변경 가능합니다.
📋 Reference: YG-1 내부 DB
  [선택지: 대체 후보 4개 비교하기 | 절삭조건 알려줘 | 왜 이 제품을 추천했나요? | 다른 코팅 옵션 보기]
👤 사용자: 왜 이 제품을 추천했나요?
🤖 AI assistant [응답 👍] [선택지 👍]: 알루미늄 가공에 최적화된 **ALU-CUT 시리즈 3날 엔드밀**을 추천드렸습니다. 
이 제품들은 45° 나선각과 코너 R 형상으로 알루미늄 가공 시 구성인선을 방지하고 칩 배출이 원활합니다. 3날 설계는 고속 가공과 우수한 면조도를 동시에 확보할 수 있으며, 무코팅(Bright Finish)으로 알루미늄 특유의 점착성을 최소화합니다. φ10mm는 범용성이 높아 다양한 알루미늄 부품 가공에 적합하며, 코너 R 반경(0.5~3mm)별로 황삭부터 정삭까지 선택 가능합니다.
  [선택지: 쉽게 설명해줘 | 추천으로 골라줘 | 상관없음 | recommendation_rationale 설명해줘]
👤 사용자: recommendation_rationale 설명해줘
🤖 AI assistant: 오류가 발생했습니다. 다시 시도해주세요.
👤 사용자: recommendation_rationale 설명해줘
🤖 AI assistant [응답 👍] [선택지 👍]: **recommendation_rationale**은 "추천 근거" 또는 "권장 이유"라는 뜻으로, 추천 시스템이나 의사결정 과정에서 **왜 특정 제품이나 옵션을 제안하는지 그 논리적 근거와 증거를 명확히 설명하는 것**을 의미합니다.
예를 들어 알루미늄 가공용 엔드밀을 추천할 때 단순히 "이 제품이 좋습니다"가 아니라, "3날 설계로 칩 배출이 원활하고, 45° 비틀림각이 절삭 저항을 낮춰 고속 가공에 유리하며, 무코팅 초경으로 알루미늄 특유의 구성인선을 방지합니다"처럼 **구체적 스펙과 가공 원리를 바탕으로 이유를 제시**하는 겁니다.
저희 시스템도 직경·소재·날수 등 여러 조건을 점수화(110점 만점)해 추천하지만, 단순 점수만 보여주지 않고 **각 제품이 왜 적합한지 기술적 근거를 함께 설명**하려 노력합니다.
📌 **웹 검색 참고 (내부 DB 외부 정보)**: Ludwig.guru, ResearchGate 논문 등 언어학 및 추천 시스템 연구 자료
  [선택지: 쉽게 설명해줘 | 추천으로 골라줘 | 상관없음 | recommendation_rationale 설명해줘]</t>
  </si>
  <si>
    <t>🎯 의도: E5E8310055와 E5E8310045의 차이 및 추천 이유 확인
✅ 정답 행동: 제품코드가 정확히 어떤 규격 차이인지 먼저 확인하고, E5E83 계열 내 0055/0045의 길이·형상 차이를 근거로 비교해야 함. 이후 사용자가 왜 추천됐는지 물었으므로, 해당 제품이 알루미늄 밀링 조건에 맞는 이유를 스펙 중심으로 간단히 설명해야 함.
⚠️ 당시 문제: 질문한 제품코드(E5E8310055, E5E8310045)가 아닌 다른 코드(GEE8310055, GEE8310045)를 섞어 안내함
💬 코멘트 분석: 코드 혼동 없이 정확한 제품 비교와 추천근거 설명을 원함</t>
  </si>
  <si>
    <t>최종 평가: 👍 / 응답: 👍10 총 11개 응답 / 선택지: 👍9 👎1</t>
  </si>
  <si>
    <t>tf-evt-mn5i4epg-xz6a6klv</t>
  </si>
  <si>
    <t>RLH-0103</t>
  </si>
  <si>
    <t>재고정보 없는 선택지만 추려달라 함</t>
  </si>
  <si>
    <t>🧭 초기 조건: 문의 목적=신규 제품 추천 / 피삭재 (소재)=알루미늄 / 가공 방식=Milling / 공구 직경=10mm
🤖 AI assistant [응답 👍] [선택지 👍]: 알루미늄 소재를 φ10mm 밀링 가공하시는군요. 현재 424개 제품이 매칭됩니다.
작업하실 알루미늄이 순수 알루미늄인가요, 아니면 7075 같은 합금인가요? (소재 특성에 따라 날 형상과 코팅이 달라집니다)
  [선택지: 비철금속 | 알루미늄 | 알루미늄 합금 | 상관없음]
👤 사용자: 비철금속
🤖 AI assistant [응답 👍] [선택지 👍]: 네, 비철금속(알루미늄) 가공용으로 좁혔습니다.
현재 10mm 3날 엔드밀 56개 중에서, **코너 형상**이 중요합니다:
• **Square (24개)**: 직각 코너, 측면·바닥 정밀 가공
• **Radius (32개)**: 둥근 코너, 공구 수명 향상, 곡면 가공
어떤 형상이 필요하신가요? 또는 "상관없음"이라고 하시면 범용 제품을 추천드립니다.
  [선택지: Radius (32개) | Square (24개) | 상관없음 | ⟵ 이전 단계]
👤 사용자: 그것들 차이가 뭐야 ?
🤖 AI assistant [응답 👍] [선택지 👍]: 현재 선택하신 조건들로는 추천 가능한 제품이 없습니다.
**toolSubtype(공구 세부 타입)**은 엔드밀의 구체적인 형상을 나타냅니다. 예를 들어 스퀘어(평면 가공용), 볼(곡면 가공용), 라디우스(모서리 R 가공용) 등이 있습니다.
이전 선택 조건을 일부 변경하시면 추천 가능한 제품이 나타날 수 있으며, 특별한 선호가 없으시다면 "상관없음"을 선택하셔도 됩니다.
어떤 조건을 조정해드릴까요?
  [선택지: 쉽게 설명해줘 | 추천으로 골라줘 | 상관없음 | Radius란? | Square란? …]
👤 사용자: Radius란?
🤖 AI assistant [응답 👍] [선택지 👍]: **Tool Subtype - Radius에 대한 설명**
Radius는 공구의 코너 또는 날끝 형상을 나타내는 타입입니다. 일반적으로 엔드밀이나 인서트에서 코너 R(반경) 값을 가진 제품을 의미하며, 가공 시 표면 조도를 개선하고 날 강도를 높이는 역할을 합니다.
현재 필터 조건에서는 Radius 타입의 후보가 없는 상태입니다. 다른 Tool Subtype을 선택하시거나, 이전 단계의 필터 조건을 조정하시면 더 많은 옵션을 확인하실 수 있습니다. 이 항목이 중요하지 않다면 "상관없음"을 선택하셔도 됩니다.
  [선택지: 쉽게 설명해줘 | 추천으로 골라줘 | 상관없음 | Radius란? | Square란? …]
👤 사용자: Square란?
🤖 AI assistant [응답 👍] [선택지 👍]: **공구 서브타입(toolSubtype) - Square 설명**
Square는 **엔드밀의 날 끝 형태**를 나타냅니다. Square 엔드밀은 날 끝이 평평하고 직각으로 되어 있어, 평면 가공이나 측면 가공, 홈 가공에 주로 사용됩니다.
현재 검색 조건으로는 **0개의 후보**가 있습니다. 다른 조건(소재, 코팅, 직경 등)을 조정하시거나, 이 항목을 **"상관없음"으로 선택**하여 더 많은 제품을 찾아보실 수 있습니다.
추가로 궁금한 점이 있으시면 말씀해 주세요!
  [선택지: 쉽게 설명해줘 | 추천으로 골라줘 | 상관없음 | Radius란? | Square란? …]
👤 사용자: E5E8310055, E5E8310045 시리즈의 차이는?
🤖 AI assistant [응답 👍] [선택지 👎]: # YG-1 절삭공구 비교 분석
## 제품 비교표
| 항목 | GEE8310055 | GEE8310045 |
|---|---|---|
| **제품코드** | GEE8310055 | GEE8310045 |
| **시리즈** | E5E83 | E5E83 |
| **브랜드** | ALU-CUT for Korean Market | ALU-CUT for Korean Market |
| **직경** | 10mm | 10mm |
| **날수** | 3날 | 3날 |
| **헬릭스각** | 45° | 45° |
| **코팅** | Bright Finish | Bright Finish |
| **적합 소재** | N (비철금속) | N (비철금속) |
| **매칭 점수** | 85점 (approximate) | 85점 (approximate) |
| **절삭조건** | 없음 | 없음 |
| **재고 상태** | unknown | unknown |
## 제품별 특징
**GEE8310055**
- Long Neck 타입으로 깊은 홈 가공에 유리
- 제품코드 끝자리(55)가 길이 규격을 의미할 가능성
**GEE8310045**
- 동일 시리즈의 Long Neck 타입
- 제품코드 끝자리(45)가 상대적으로 짧은 길이 규격일 가능성
## 결론 및 추천
두 제품은 **동일한 시리즈와 사양**을 가진 알루미늄 가공용 엔드밀이며, 주요 차이는 **제품코드 끝자리(055 vs 045)**로 추정되는 **전체 길이(Overall Length) 또는 날 길이(Flute Length)의 차이**입니다.
- **GEE8310055**: 더 깊은 가공 깊이가 필요한 경우 선택
- **GEE8310045**: 일반적인 깊이의 알루미늄 가공 시 강성이 더 우수하여 추천
정확한 길이 정보 확인 후 가공 깊이에 따라 선택하시기 바랍니다.
[Reference: YG-1 내부 DB]
  [선택지: 추천해주세요 | 다른 조건으로 | ⟵ 이전 단계 | 처음부터 다시]
👤 사용자: E5E8310055, E5E8310045 시리즈의 차이는?
 인데, 왜 GEE8310055 GEE8310045 알려줘?
🤖 AI assistant [응답 👍] [선택지 👍]: 좋은 질문입니다! 사용자님께서 **E5E8310055, E5E8310045** 시리즈의 차이를 물어보셨는데, 시스템이 **GEE8310055, GEE8310045**도 함께 보여준 이유를 설명드리겠습니다.
## 이유:
현재 적용된 필터 조건(**비철금속 가공**)과 시스템의 추천 알고리즘이 작동한 결과입니다:
1. **GEE83 시리즈와 E5E83 시리즈는 같은 제품군**입니다
 - 둘 다 **E5E83** 시리즈에 속하는 3날(3F) 엔드밀입니다
 - 직경 φ10mm, Bright Finish 코팅 동일
 - **approximate 85점**으로 동일한 적합도 점수
2. **제품 코드 차이**:
 - **GEE83xxxxx**: 일반형 제품 코드
 - **E5E83xxxxx**: 동일 시리즈의 다른 규격 또는 변형
3. **뒤 5자리 숫자 (10055, 10045, 10035 등)**:
 - 전체길이(OAL), 절삭날길이(LOC) 등 **세부 치수 규격**을 나타냅니다
 - 같은 시리즈 내에서 길이별 라인업
## 차이점 확인 방법:
상위 5개 제품의 구체적인 스펙 차이를 보시려면:
```
1번이랑 4번 비교해줘
```
또는
```
상위 3개 비교해줘
```
라고 말씀해주시면 **정확한 치수 차이**(전체길이, 날길이 등)를 비교해드리겠습니다!
현재 모두 **approximate 85점**으로 비슷한 적합도를 보이고 있어, 구체적인 가공 조건(홀 깊이, 돌출 길이 등)에 따라 선택하시면 됩니다.
[Reference: YG-1 내부 DB]
  [선택지: 쉽게 설명해줘 | 추천으로 골라줘 | 상관없음 | Radius란? | Square란? …]
👤 사용자: Radius
🤖 AI assistant [응답 👍] [선택지 👍]: **브랜드명:** ALU-CUT for Korean Market | **제품코드:** GED7210030
알루미늄 밀링용으로 ALU-CUT E5D72 GED7210030을 추천드립니다.
✓ 요청하신 직경 10mm 정확 일치
✓ 비철금속 전용 3날 설계 — 칩 배출 원활, 절삭저항 분산
✓ Bright Finish 코팅 — 알루미늄 용착 방지
절삭조건: Vc=251m/min, fz=0.051mm/tooth, 절입깊이=0.2D (신뢰도 90%)
⚠️ 현재 재고 limited — 주문 전 본사(032-526-0909) 재고 확인 권장
동일 스펙 대안 9개 있습니다(E5D7210030 등). 코너 R 없는 스퀘어 타입 필요시 E5D72 표준형으로 변경 가능합니다.
📋 Reference: YG-1 내부 DB
  [선택지: 대체 후보 4개 비교하기 | 절삭조건 알려줘 | 왜 이 제품을 추천했나요? | 다른 코팅 옵션 보기]
👤 사용자: 왜 이 제품을 추천했나요?
🤖 AI assistant [응답 👍] [선택지 👍]: 알루미늄 가공에 최적화된 **ALU-CUT 시리즈 3날 엔드밀**을 추천드렸습니다. 
이 제품들은 45° 나선각과 코너 R 형상으로 알루미늄 가공 시 구성인선을 방지하고 칩 배출이 원활합니다. 3날 설계는 고속 가공과 우수한 면조도를 동시에 확보할 수 있으며, 무코팅(Bright Finish)으로 알루미늄 특유의 점착성을 최소화합니다. φ10mm는 범용성이 높아 다양한 알루미늄 부품 가공에 적합하며, 코너 R 반경(0.5~3mm)별로 황삭부터 정삭까지 선택 가능합니다.
  [선택지: 쉽게 설명해줘 | 추천으로 골라줘 | 상관없음 | recommendation_rationale 설명해줘]
👤 사용자: recommendation_rationale 설명해줘
🤖 AI assistant: 오류가 발생했습니다. 다시 시도해주세요.
👤 사용자: recommendation_rationale 설명해줘
🤖 AI assistant [응답 👍] [선택지 👍]: **recommendation_rationale**은 "추천 근거" 또는 "권장 이유"라는 뜻으로, 추천 시스템이나 의사결정 과정에서 **왜 특정 제품이나 옵션을 제안하는지 그 논리적 근거와 증거를 명확히 설명하는 것**을 의미합니다.
예를 들어 알루미늄 가공용 엔드밀을 추천할 때 단순히 "이 제품이 좋습니다"가 아니라, "3날 설계로 칩 배출이 원활하고, 45° 비틀림각이 절삭 저항을 낮춰 고속 가공에 유리하며, 무코팅 초경으로 알루미늄 특유의 구성인선을 방지합니다"처럼 **구체적 스펙과 가공 원리를 바탕으로 이유를 제시**하는 겁니다.
저희 시스템도 직경·소재·날수 등 여러 조건을 점수화(110점 만점)해 추천하지만, 단순 점수만 보여주지 않고 **각 제품이 왜 적합한지 기술적 근거를 함께 설명**하려 노력합니다.
📌 **웹 검색 참고 (내부 DB 외부 정보)**: Ludwig.guru, ResearchGate 논문 등 언어학 및 추천 시스템 연구 자료
  [선택지: 쉽게 설명해줘 | 추천으로 골라줘 | 상관없음 | recommendation_rationale 설명해줘]
👤 사용자: 지금 선택지중에 재고정보 없는거만 가져와줘
🤖 AI assistant [응답 👍] [선택지 👍]: 알루미늄 밀링 가공용으로 ALU-CUT for Korean Market GED7210030 (E5D72 시리즈)을 추천드립니다.
**추천 근거:**
- 요청하신 φ10mm 직경에 정확히 일치하며, 알루미늄 전용 3날 설계로 칩 배출이 우수합니다
- Bright Finish 코팅으로 비철금속 가공 시 절삭유 없이도 가공면이 깔끔합니다
- 절삭조건: 절삭속도(Vc) 251m/min, 날당이송(fz) 0.051mm/tooth, 절입깊이(ap) 0.2D 권장 (신뢰도 90%)
**참고사항:**
- 현재 재고가 limited 상태이며 납기 정보는 확인이 필요합니다
- 동일 스펙의 대안으로 E5D7210030, GED7210020 등 9개 제품이 있으며, 모두 동일한 성능입니다 (코너 R 사이즈만 차이)
**대안 비교:**
GED7210030~E5D72100까지 10개 제품은 모두 동일 시리즈로 코너 R만 다릅니다. 가공 형상에 따라 선택하시면 됩니다 (정확한 코너 R은 본사 032-526-0909에 문의하세요).
📋 **Reference:**
- 제품 스펙: YG-1 내부 DB (카탈로그 데이터)
- 절삭조건: YG-1 내부 DB (신뢰도 90%)
- 재고 정보: YG-1 내부 DB
  [선택지: 대체 후보 4개 비교하기 | 절삭조건 알려줘 | 왜 이 제품을 추천했나요? | 다른 코팅 옵션 보기]</t>
  </si>
  <si>
    <t>🎯 의도: 재고정보가 없는 제품만 보고 싶음
✅ 정답 행동: 현재 선택지들 중 재고 상태가 표시되지 않은 항목만 필터링해 목록으로 보여줘야 함. 재고가 limited/unknown/확인필요인 제품은 제외하고, 선택 가능한 항목만 간단히 제시해야 함.
⚠️ 당시 문제: 재고정보가 없는 제품을 달라는 요청에 다시 재고가 표시된 추천을 줌
💬 코멘트 분석: 코멘트 없음</t>
  </si>
  <si>
    <t>최종 평가: 👍 / 응답: 👍11 총 12개 응답 / 선택지: 👍10 👎1</t>
  </si>
  <si>
    <t>tf-evt-mn5i6pie-wim7uh0v</t>
  </si>
  <si>
    <t>RLH-0104</t>
  </si>
  <si>
    <t>재고정보 없는 제품만 추려달라 요청</t>
  </si>
  <si>
    <t>🧭 초기 조건: 문의 목적=신규 제품 추천 / 피삭재 (소재)=알루미늄 / 가공 방식=Milling / 공구 직경=10mm
🤖 AI assistant [응답 👍] [선택지 👍]: 알루미늄 소재를 φ10mm 밀링 가공하시는군요. 현재 424개 제품이 매칭됩니다.
작업하실 알루미늄이 순수 알루미늄인가요, 아니면 7075 같은 합금인가요? (소재 특성에 따라 날 형상과 코팅이 달라집니다)
  [선택지: 비철금속 | 알루미늄 | 알루미늄 합금 | 상관없음]
👤 사용자: 비철금속
🤖 AI assistant [응답 👍] [선택지 👍]: 네, 비철금속(알루미늄) 가공용으로 좁혔습니다.
현재 10mm 3날 엔드밀 56개 중에서, **코너 형상**이 중요합니다:
• **Square (24개)**: 직각 코너, 측면·바닥 정밀 가공
• **Radius (32개)**: 둥근 코너, 공구 수명 향상, 곡면 가공
어떤 형상이 필요하신가요? 또는 "상관없음"이라고 하시면 범용 제품을 추천드립니다.
  [선택지: Radius (32개) | Square (24개) | 상관없음 | ⟵ 이전 단계]
👤 사용자: 그것들 차이가 뭐야 ?
🤖 AI assistant [응답 👍] [선택지 👍]: 현재 선택하신 조건들로는 추천 가능한 제품이 없습니다.
**toolSubtype(공구 세부 타입)**은 엔드밀의 구체적인 형상을 나타냅니다. 예를 들어 스퀘어(평면 가공용), 볼(곡면 가공용), 라디우스(모서리 R 가공용) 등이 있습니다.
이전 선택 조건을 일부 변경하시면 추천 가능한 제품이 나타날 수 있으며, 특별한 선호가 없으시다면 "상관없음"을 선택하셔도 됩니다.
어떤 조건을 조정해드릴까요?
  [선택지: 쉽게 설명해줘 | 추천으로 골라줘 | 상관없음 | Radius란? | Square란? …]
👤 사용자: Radius란?
🤖 AI assistant [응답 👍] [선택지 👍]: **Tool Subtype - Radius에 대한 설명**
Radius는 공구의 코너 또는 날끝 형상을 나타내는 타입입니다. 일반적으로 엔드밀이나 인서트에서 코너 R(반경) 값을 가진 제품을 의미하며, 가공 시 표면 조도를 개선하고 날 강도를 높이는 역할을 합니다.
현재 필터 조건에서는 Radius 타입의 후보가 없는 상태입니다. 다른 Tool Subtype을 선택하시거나, 이전 단계의 필터 조건을 조정하시면 더 많은 옵션을 확인하실 수 있습니다. 이 항목이 중요하지 않다면 "상관없음"을 선택하셔도 됩니다.
  [선택지: 쉽게 설명해줘 | 추천으로 골라줘 | 상관없음 | Radius란? | Square란? …]
👤 사용자: Square란?
🤖 AI assistant [응답 👍] [선택지 👍]: **공구 서브타입(toolSubtype) - Square 설명**
Square는 **엔드밀의 날 끝 형태**를 나타냅니다. Square 엔드밀은 날 끝이 평평하고 직각으로 되어 있어, 평면 가공이나 측면 가공, 홈 가공에 주로 사용됩니다.
현재 검색 조건으로는 **0개의 후보**가 있습니다. 다른 조건(소재, 코팅, 직경 등)을 조정하시거나, 이 항목을 **"상관없음"으로 선택**하여 더 많은 제품을 찾아보실 수 있습니다.
추가로 궁금한 점이 있으시면 말씀해 주세요!
  [선택지: 쉽게 설명해줘 | 추천으로 골라줘 | 상관없음 | Radius란? | Square란? …]
👤 사용자: E5E8310055, E5E8310045 시리즈의 차이는?
🤖 AI assistant [응답 👍] [선택지 👎]: # YG-1 절삭공구 비교 분석
## 제품 비교표
| 항목 | GEE8310055 | GEE8310045 |
|---|---|---|
| **제품코드** | GEE8310055 | GEE8310045 |
| **시리즈** | E5E83 | E5E83 |
| **브랜드** | ALU-CUT for Korean Market | ALU-CUT for Korean Market |
| **직경** | 10mm | 10mm |
| **날수** | 3날 | 3날 |
| **헬릭스각** | 45° | 45° |
| **코팅** | Bright Finish | Bright Finish |
| **적합 소재** | N (비철금속) | N (비철금속) |
| **매칭 점수** | 85점 (approximate) | 85점 (approximate) |
| **절삭조건** | 없음 | 없음 |
| **재고 상태** | unknown | unknown |
## 제품별 특징
**GEE8310055**
- Long Neck 타입으로 깊은 홈 가공에 유리
- 제품코드 끝자리(55)가 길이 규격을 의미할 가능성
**GEE8310045**
- 동일 시리즈의 Long Neck 타입
- 제품코드 끝자리(45)가 상대적으로 짧은 길이 규격일 가능성
## 결론 및 추천
두 제품은 **동일한 시리즈와 사양**을 가진 알루미늄 가공용 엔드밀이며, 주요 차이는 **제품코드 끝자리(055 vs 045)**로 추정되는 **전체 길이(Overall Length) 또는 날 길이(Flute Length)의 차이**입니다.
- **GEE8310055**: 더 깊은 가공 깊이가 필요한 경우 선택
- **GEE8310045**: 일반적인 깊이의 알루미늄 가공 시 강성이 더 우수하여 추천
정확한 길이 정보 확인 후 가공 깊이에 따라 선택하시기 바랍니다.
[Reference: YG-1 내부 DB]
  [선택지: 추천해주세요 | 다른 조건으로 | ⟵ 이전 단계 | 처음부터 다시]
👤 사용자: E5E8310055, E5E8310045 시리즈의 차이는?
 인데, 왜 GEE8310055 GEE8310045 알려줘?
🤖 AI assistant [응답 👍] [선택지 👍]: 좋은 질문입니다! 사용자님께서 **E5E8310055, E5E8310045** 시리즈의 차이를 물어보셨는데, 시스템이 **GEE8310055, GEE8310045**도 함께 보여준 이유를 설명드리겠습니다.
## 이유:
현재 적용된 필터 조건(**비철금속 가공**)과 시스템의 추천 알고리즘이 작동한 결과입니다:
1. **GEE83 시리즈와 E5E83 시리즈는 같은 제품군**입니다
 - 둘 다 **E5E83** 시리즈에 속하는 3날(3F) 엔드밀입니다
 - 직경 φ10mm, Bright Finish 코팅 동일
 - **approximate 85점**으로 동일한 적합도 점수
2. **제품 코드 차이**:
 - **GEE83xxxxx**: 일반형 제품 코드
 - **E5E83xxxxx**: 동일 시리즈의 다른 규격 또는 변형
3. **뒤 5자리 숫자 (10055, 10045, 10035 등)**:
 - 전체길이(OAL), 절삭날길이(LOC) 등 **세부 치수 규격**을 나타냅니다
 - 같은 시리즈 내에서 길이별 라인업
## 차이점 확인 방법:
상위 5개 제품의 구체적인 스펙 차이를 보시려면:
```
1번이랑 4번 비교해줘
```
또는
```
상위 3개 비교해줘
```
라고 말씀해주시면 **정확한 치수 차이**(전체길이, 날길이 등)를 비교해드리겠습니다!
현재 모두 **approximate 85점**으로 비슷한 적합도를 보이고 있어, 구체적인 가공 조건(홀 깊이, 돌출 길이 등)에 따라 선택하시면 됩니다.
[Reference: YG-1 내부 DB]
  [선택지: 쉽게 설명해줘 | 추천으로 골라줘 | 상관없음 | Radius란? | Square란? …]
👤 사용자: Radius
🤖 AI assistant [응답 👍] [선택지 👍]: **브랜드명:** ALU-CUT for Korean Market | **제품코드:** GED7210030
알루미늄 밀링용으로 ALU-CUT E5D72 GED7210030을 추천드립니다.
✓ 요청하신 직경 10mm 정확 일치
✓ 비철금속 전용 3날 설계 — 칩 배출 원활, 절삭저항 분산
✓ Bright Finish 코팅 — 알루미늄 용착 방지
절삭조건: Vc=251m/min, fz=0.051mm/tooth, 절입깊이=0.2D (신뢰도 90%)
⚠️ 현재 재고 limited — 주문 전 본사(032-526-0909) 재고 확인 권장
동일 스펙 대안 9개 있습니다(E5D7210030 등). 코너 R 없는 스퀘어 타입 필요시 E5D72 표준형으로 변경 가능합니다.
📋 Reference: YG-1 내부 DB
  [선택지: 대체 후보 4개 비교하기 | 절삭조건 알려줘 | 왜 이 제품을 추천했나요? | 다른 코팅 옵션 보기]
👤 사용자: 왜 이 제품을 추천했나요?
🤖 AI assistant [응답 👍] [선택지 👍]: 알루미늄 가공에 최적화된 **ALU-CUT 시리즈 3날 엔드밀**을 추천드렸습니다. 
이 제품들은 45° 나선각과 코너 R 형상으로 알루미늄 가공 시 구성인선을 방지하고 칩 배출이 원활합니다. 3날 설계는 고속 가공과 우수한 면조도를 동시에 확보할 수 있으며, 무코팅(Bright Finish)으로 알루미늄 특유의 점착성을 최소화합니다. φ10mm는 범용성이 높아 다양한 알루미늄 부품 가공에 적합하며, 코너 R 반경(0.5~3mm)별로 황삭부터 정삭까지 선택 가능합니다.
  [선택지: 쉽게 설명해줘 | 추천으로 골라줘 | 상관없음 | recommendation_rationale 설명해줘]
👤 사용자: recommendation_rationale 설명해줘
🤖 AI assistant: 오류가 발생했습니다. 다시 시도해주세요.
👤 사용자: recommendation_rationale 설명해줘
🤖 AI assistant [응답 👍] [선택지 👍]: **recommendation_rationale**은 "추천 근거" 또는 "권장 이유"라는 뜻으로, 추천 시스템이나 의사결정 과정에서 **왜 특정 제품이나 옵션을 제안하는지 그 논리적 근거와 증거를 명확히 설명하는 것**을 의미합니다.
예를 들어 알루미늄 가공용 엔드밀을 추천할 때 단순히 "이 제품이 좋습니다"가 아니라, "3날 설계로 칩 배출이 원활하고, 45° 비틀림각이 절삭 저항을 낮춰 고속 가공에 유리하며, 무코팅 초경으로 알루미늄 특유의 구성인선을 방지합니다"처럼 **구체적 스펙과 가공 원리를 바탕으로 이유를 제시**하는 겁니다.
저희 시스템도 직경·소재·날수 등 여러 조건을 점수화(110점 만점)해 추천하지만, 단순 점수만 보여주지 않고 **각 제품이 왜 적합한지 기술적 근거를 함께 설명**하려 노력합니다.
📌 **웹 검색 참고 (내부 DB 외부 정보)**: Ludwig.guru, ResearchGate 논문 등 언어학 및 추천 시스템 연구 자료
  [선택지: 쉽게 설명해줘 | 추천으로 골라줘 | 상관없음 | recommendation_rationale 설명해줘]
👤 사용자: 지금 선택지중에 재고정보 없는거만 가져와줘
🤖 AI assistant [응답 👍] [선택지 👍]: 알루미늄 밀링 가공용으로 ALU-CUT for Korean Market GED7210030 (E5D72 시리즈)을 추천드립니다.
**추천 근거:**
- 요청하신 φ10mm 직경에 정확히 일치하며, 알루미늄 전용 3날 설계로 칩 배출이 우수합니다
- Bright Finish 코팅으로 비철금속 가공 시 절삭유 없이도 가공면이 깔끔합니다
- 절삭조건: 절삭속도(Vc) 251m/min, 날당이송(fz) 0.051mm/tooth, 절입깊이(ap) 0.2D 권장 (신뢰도 90%)
**참고사항:**
- 현재 재고가 limited 상태이며 납기 정보는 확인이 필요합니다
- 동일 스펙의 대안으로 E5D7210030, GED7210020 등 9개 제품이 있으며, 모두 동일한 성능입니다 (코너 R 사이즈만 차이)
**대안 비교:**
GED7210030~E5D72100까지 10개 제품은 모두 동일 시리즈로 코너 R만 다릅니다. 가공 형상에 따라 선택하시면 됩니다 (정확한 코너 R은 본사 032-526-0909에 문의하세요).
📋 **Reference:**
- 제품 스펙: YG-1 내부 DB (카탈로그 데이터)
- 절삭조건: YG-1 내부 DB (신뢰도 90%)
- 재고 정보: YG-1 내부 DB
  [선택지: 대체 후보 4개 비교하기 | 절삭조건 알려줘 | 왜 이 제품을 추천했나요? | 다른 코팅 옵션 보기]
👤 사용자: GED7210030 재고량 알려줘요
🤖 AI assistant [응답 👍] [선택지 👍]: GED7210030의 재고 데이터를 내부 데이터에서 조회했습니다.
| 항목 | 값 |
| --- | --- |
| 제품코드 | GED7210030 |
| 시리즈 | E5D72 |
| 직경 | φ10mm |
| 전체 지역 합산 재고 | 2개 |
| 재고 상태 | 소량 재고 |
| 기준일 | Wed Mar 18 |
| 지역 | 수량 |
| --- | --- |
| GLC-Export | 2개 |
[Reference: YG-1 내부 재고 데이터]
  [선택지: 다른 제품 재고 | 추천 제품 보기 | 처음부터 다시]</t>
  </si>
  <si>
    <t>🎯 의도: 현재 선택지 중 재고정보가 없는 후보만 보고 싶음
✅ 정답 행동: 재고 상태가 명시되지 않은 선택지만 필터링해 목록으로 제시해야 함.  
각 후보의 제품코드와 함께 “재고정보 없음” 기준으로만 보여주고, 재고가 있는/limited 항목은 제외해야 함.
⚠️ 당시 문제: 재고정보 없는 것만 가져오라는 요청인데도 재고 limited 제품을 다시 추천함
💬 코멘트 분석: 재고정보가 없는 후보만 골라 달라는 요구 핵심</t>
  </si>
  <si>
    <t>최종 평가: 👍 / 응답: 👍12 총 13개 응답 / 선택지: 👍11 👎1</t>
  </si>
  <si>
    <t>tf-evt-mn5i8nt1-sjrxy7sh</t>
  </si>
  <si>
    <t>RLH-0105</t>
  </si>
  <si>
    <t>재고정보 없는 후보만 달라고 요청</t>
  </si>
  <si>
    <t>🧭 초기 조건: 문의 목적=신규 제품 추천 / 피삭재 (소재)=알루미늄 / 가공 방식=Milling / 공구 직경=10mm
🤖 AI assistant [응답 👍] [선택지 👍]: 알루미늄 소재를 φ10mm 밀링 가공하시는군요. 현재 424개 제품이 매칭됩니다.
작업하실 알루미늄이 순수 알루미늄인가요, 아니면 7075 같은 합금인가요? (소재 특성에 따라 날 형상과 코팅이 달라집니다)
  [선택지: 비철금속 | 알루미늄 | 알루미늄 합금 | 상관없음]
👤 사용자: 비철금속
🤖 AI assistant [응답 👍] [선택지 👍]: 네, 비철금속(알루미늄) 가공용으로 좁혔습니다.
현재 10mm 3날 엔드밀 56개 중에서, **코너 형상**이 중요합니다:
• **Square (24개)**: 직각 코너, 측면·바닥 정밀 가공
• **Radius (32개)**: 둥근 코너, 공구 수명 향상, 곡면 가공
어떤 형상이 필요하신가요? 또는 "상관없음"이라고 하시면 범용 제품을 추천드립니다.
  [선택지: Radius (32개) | Square (24개) | 상관없음 | ⟵ 이전 단계]
👤 사용자: 그것들 차이가 뭐야 ?
🤖 AI assistant [응답 👍] [선택지 👍]: 현재 선택하신 조건들로는 추천 가능한 제품이 없습니다.
**toolSubtype(공구 세부 타입)**은 엔드밀의 구체적인 형상을 나타냅니다. 예를 들어 스퀘어(평면 가공용), 볼(곡면 가공용), 라디우스(모서리 R 가공용) 등이 있습니다.
이전 선택 조건을 일부 변경하시면 추천 가능한 제품이 나타날 수 있으며, 특별한 선호가 없으시다면 "상관없음"을 선택하셔도 됩니다.
어떤 조건을 조정해드릴까요?
  [선택지: 쉽게 설명해줘 | 추천으로 골라줘 | 상관없음 | Radius란? | Square란? …]
👤 사용자: Radius란?
🤖 AI assistant [응답 👍] [선택지 👍]: **Tool Subtype - Radius에 대한 설명**
Radius는 공구의 코너 또는 날끝 형상을 나타내는 타입입니다. 일반적으로 엔드밀이나 인서트에서 코너 R(반경) 값을 가진 제품을 의미하며, 가공 시 표면 조도를 개선하고 날 강도를 높이는 역할을 합니다.
현재 필터 조건에서는 Radius 타입의 후보가 없는 상태입니다. 다른 Tool Subtype을 선택하시거나, 이전 단계의 필터 조건을 조정하시면 더 많은 옵션을 확인하실 수 있습니다. 이 항목이 중요하지 않다면 "상관없음"을 선택하셔도 됩니다.
  [선택지: 쉽게 설명해줘 | 추천으로 골라줘 | 상관없음 | Radius란? | Square란? …]
👤 사용자: Square란?
🤖 AI assistant [응답 👍] [선택지 👍]: **공구 서브타입(toolSubtype) - Square 설명**
Square는 **엔드밀의 날 끝 형태**를 나타냅니다. Square 엔드밀은 날 끝이 평평하고 직각으로 되어 있어, 평면 가공이나 측면 가공, 홈 가공에 주로 사용됩니다.
현재 검색 조건으로는 **0개의 후보**가 있습니다. 다른 조건(소재, 코팅, 직경 등)을 조정하시거나, 이 항목을 **"상관없음"으로 선택**하여 더 많은 제품을 찾아보실 수 있습니다.
추가로 궁금한 점이 있으시면 말씀해 주세요!
  [선택지: 쉽게 설명해줘 | 추천으로 골라줘 | 상관없음 | Radius란? | Square란? …]
👤 사용자: E5E8310055, E5E8310045 시리즈의 차이는?
🤖 AI assistant [응답 👍] [선택지 👎]: # YG-1 절삭공구 비교 분석
## 제품 비교표
| 항목 | GEE8310055 | GEE8310045 |
|---|---|---|
| **제품코드** | GEE8310055 | GEE8310045 |
| **시리즈** | E5E83 | E5E83 |
| **브랜드** | ALU-CUT for Korean Market | ALU-CUT for Korean Market |
| **직경** | 10mm | 10mm |
| **날수** | 3날 | 3날 |
| **헬릭스각** | 45° | 45° |
| **코팅** | Bright Finish | Bright Finish |
| **적합 소재** | N (비철금속) | N (비철금속) |
| **매칭 점수** | 85점 (approximate) | 85점 (approximate) |
| **절삭조건** | 없음 | 없음 |
| **재고 상태** | unknown | unknown |
## 제품별 특징
**GEE8310055**
- Long Neck 타입으로 깊은 홈 가공에 유리
- 제품코드 끝자리(55)가 길이 규격을 의미할 가능성
**GEE8310045**
- 동일 시리즈의 Long Neck 타입
- 제품코드 끝자리(45)가 상대적으로 짧은 길이 규격일 가능성
## 결론 및 추천
두 제품은 **동일한 시리즈와 사양**을 가진 알루미늄 가공용 엔드밀이며, 주요 차이는 **제품코드 끝자리(055 vs 045)**로 추정되는 **전체 길이(Overall Length) 또는 날 길이(Flute Length)의 차이**입니다.
- **GEE8310055**: 더 깊은 가공 깊이가 필요한 경우 선택
- **GEE8310045**: 일반적인 깊이의 알루미늄 가공 시 강성이 더 우수하여 추천
정확한 길이 정보 확인 후 가공 깊이에 따라 선택하시기 바랍니다.
[Reference: YG-1 내부 DB]
  [선택지: 추천해주세요 | 다른 조건으로 | ⟵ 이전 단계 | 처음부터 다시]
👤 사용자: E5E8310055, E5E8310045 시리즈의 차이는?
 인데, 왜 GEE8310055 GEE8310045 알려줘?
🤖 AI assistant [응답 👍] [선택지 👍]: 좋은 질문입니다! 사용자님께서 **E5E8310055, E5E8310045** 시리즈의 차이를 물어보셨는데, 시스템이 **GEE8310055, GEE8310045**도 함께 보여준 이유를 설명드리겠습니다.
## 이유:
현재 적용된 필터 조건(**비철금속 가공**)과 시스템의 추천 알고리즘이 작동한 결과입니다:
1. **GEE83 시리즈와 E5E83 시리즈는 같은 제품군**입니다
 - 둘 다 **E5E83** 시리즈에 속하는 3날(3F) 엔드밀입니다
 - 직경 φ10mm, Bright Finish 코팅 동일
 - **approximate 85점**으로 동일한 적합도 점수
2. **제품 코드 차이**:
 - **GEE83xxxxx**: 일반형 제품 코드
 - **E5E83xxxxx**: 동일 시리즈의 다른 규격 또는 변형
3. **뒤 5자리 숫자 (10055, 10045, 10035 등)**:
 - 전체길이(OAL), 절삭날길이(LOC) 등 **세부 치수 규격**을 나타냅니다
 - 같은 시리즈 내에서 길이별 라인업
## 차이점 확인 방법:
상위 5개 제품의 구체적인 스펙 차이를 보시려면:
```
1번이랑 4번 비교해줘
```
또는
```
상위 3개 비교해줘
```
라고 말씀해주시면 **정확한 치수 차이**(전체길이, 날길이 등)를 비교해드리겠습니다!
현재 모두 **approximate 85점**으로 비슷한 적합도를 보이고 있어, 구체적인 가공 조건(홀 깊이, 돌출 길이 등)에 따라 선택하시면 됩니다.
[Reference: YG-1 내부 DB]
  [선택지: 쉽게 설명해줘 | 추천으로 골라줘 | 상관없음 | Radius란? | Square란? …]
👤 사용자: Radius
🤖 AI assistant [응답 👍] [선택지 👍]: **브랜드명:** ALU-CUT for Korean Market | **제품코드:** GED7210030
알루미늄 밀링용으로 ALU-CUT E5D72 GED7210030을 추천드립니다.
✓ 요청하신 직경 10mm 정확 일치
✓ 비철금속 전용 3날 설계 — 칩 배출 원활, 절삭저항 분산
✓ Bright Finish 코팅 — 알루미늄 용착 방지
절삭조건: Vc=251m/min, fz=0.051mm/tooth, 절입깊이=0.2D (신뢰도 90%)
⚠️ 현재 재고 limited — 주문 전 본사(032-526-0909) 재고 확인 권장
동일 스펙 대안 9개 있습니다(E5D7210030 등). 코너 R 없는 스퀘어 타입 필요시 E5D72 표준형으로 변경 가능합니다.
📋 Reference: YG-1 내부 DB
  [선택지: 대체 후보 4개 비교하기 | 절삭조건 알려줘 | 왜 이 제품을 추천했나요? | 다른 코팅 옵션 보기]
👤 사용자: 왜 이 제품을 추천했나요?
🤖 AI assistant [응답 👍] [선택지 👍]: 알루미늄 가공에 최적화된 **ALU-CUT 시리즈 3날 엔드밀**을 추천드렸습니다. 
이 제품들은 45° 나선각과 코너 R 형상으로 알루미늄 가공 시 구성인선을 방지하고 칩 배출이 원활합니다. 3날 설계는 고속 가공과 우수한 면조도를 동시에 확보할 수 있으며, 무코팅(Bright Finish)으로 알루미늄 특유의 점착성을 최소화합니다. φ10mm는 범용성이 높아 다양한 알루미늄 부품 가공에 적합하며, 코너 R 반경(0.5~3mm)별로 황삭부터 정삭까지 선택 가능합니다.
  [선택지: 쉽게 설명해줘 | 추천으로 골라줘 | 상관없음 | recommendation_rationale 설명해줘]
👤 사용자: recommendation_rationale 설명해줘
🤖 AI assistant: 오류가 발생했습니다. 다시 시도해주세요.
👤 사용자: recommendation_rationale 설명해줘
🤖 AI assistant [응답 👍] [선택지 👍]: **recommendation_rationale**은 "추천 근거" 또는 "권장 이유"라는 뜻으로, 추천 시스템이나 의사결정 과정에서 **왜 특정 제품이나 옵션을 제안하는지 그 논리적 근거와 증거를 명확히 설명하는 것**을 의미합니다.
예를 들어 알루미늄 가공용 엔드밀을 추천할 때 단순히 "이 제품이 좋습니다"가 아니라, "3날 설계로 칩 배출이 원활하고, 45° 비틀림각이 절삭 저항을 낮춰 고속 가공에 유리하며, 무코팅 초경으로 알루미늄 특유의 구성인선을 방지합니다"처럼 **구체적 스펙과 가공 원리를 바탕으로 이유를 제시**하는 겁니다.
저희 시스템도 직경·소재·날수 등 여러 조건을 점수화(110점 만점)해 추천하지만, 단순 점수만 보여주지 않고 **각 제품이 왜 적합한지 기술적 근거를 함께 설명**하려 노력합니다.
📌 **웹 검색 참고 (내부 DB 외부 정보)**: Ludwig.guru, ResearchGate 논문 등 언어학 및 추천 시스템 연구 자료
  [선택지: 쉽게 설명해줘 | 추천으로 골라줘 | 상관없음 | recommendation_rationale 설명해줘]
👤 사용자: 지금 선택지중에 재고정보 없는거만 가져와줘
🤖 AI assistant [응답 👍] [선택지 👍]: 알루미늄 밀링 가공용으로 ALU-CUT for Korean Market GED7210030 (E5D72 시리즈)을 추천드립니다.
**추천 근거:**
- 요청하신 φ10mm 직경에 정확히 일치하며, 알루미늄 전용 3날 설계로 칩 배출이 우수합니다
- Bright Finish 코팅으로 비철금속 가공 시 절삭유 없이도 가공면이 깔끔합니다
- 절삭조건: 절삭속도(Vc) 251m/min, 날당이송(fz) 0.051mm/tooth, 절입깊이(ap) 0.2D 권장 (신뢰도 90%)
**참고사항:**
- 현재 재고가 limited 상태이며 납기 정보는 확인이 필요합니다
- 동일 스펙의 대안으로 E5D7210030, GED7210020 등 9개 제품이 있으며, 모두 동일한 성능입니다 (코너 R 사이즈만 차이)
**대안 비교:**
GED7210030~E5D72100까지 10개 제품은 모두 동일 시리즈로 코너 R만 다릅니다. 가공 형상에 따라 선택하시면 됩니다 (정확한 코너 R은 본사 032-526-0909에 문의하세요).
📋 **Reference:**
- 제품 스펙: YG-1 내부 DB (카탈로그 데이터)
- 절삭조건: YG-1 내부 DB (신뢰도 90%)
- 재고 정보: YG-1 내부 DB
  [선택지: 대체 후보 4개 비교하기 | 절삭조건 알려줘 | 왜 이 제품을 추천했나요? | 다른 코팅 옵션 보기]
👤 사용자: GED7210030 재고량 알려줘요
🤖 AI assistant [응답 👍] [선택지 👍]: GED7210030의 재고 데이터를 내부 데이터에서 조회했습니다.
| 항목 | 값 |
| --- | --- |
| 제품코드 | GED7210030 |
| 시리즈 | E5D72 |
| 직경 | φ10mm |
| 전체 지역 합산 재고 | 2개 |
| 재고 상태 | 소량 재고 |
| 기준일 | Wed Mar 18 |
| 지역 | 수량 |
| --- | --- |
| GLC-Export | 2개 |
[Reference: YG-1 내부 재고 데이터]
  [선택지: 다른 제품 재고 | 추천 제품 보기 | 처음부터 다시]
👤 사용자: 지금 익산공장 정보 알려줘요
🤖 AI assistant [응답 👍]: YG-1에 익산공장은 없습니다. 국내 공장은 인천(인천본공장·부평공장·서운공장), 광주, 충주 총 5곳입니다.</t>
  </si>
  <si>
    <t>🎯 의도: 현재 선택지 중 재고정보가 없는 제품만 추려달라는 것
✅ 정답 행동: 현재 후보들에서 재고 상태가 표시되지 않은 항목만 필터링해 목록으로 보여줘야 한다. 재고가 limited/unknown/미표기인 항목만 분리하고, 확실히 재고정보가 있는 항목은 제외해야 한다.
⚠️ 당시 문제: 재고정보가 있는 추천을 다시 제시하며 요청 조건을 반영하지 못함
💬 코멘트 분석: 재고정보 없는 것만 가져오라는 필터 요청</t>
  </si>
  <si>
    <t>최종 평가: 👍 / 응답: 👍13 총 14개 응답 / 선택지: 👍11 👎1</t>
  </si>
  <si>
    <t>tf-evt-mn5i9abt-c8ghipdq</t>
  </si>
  <si>
    <t>RLH-0106</t>
  </si>
  <si>
    <t>재고정보 없는 추천만 골라달라 요청</t>
  </si>
  <si>
    <t>🧭 초기 조건: 문의 목적=신규 제품 추천 / 피삭재 (소재)=알루미늄 / 가공 방식=Milling / 공구 직경=10mm
🤖 AI assistant [응답 👍] [선택지 👍]: 알루미늄 소재를 φ10mm 밀링 가공하시는군요. 현재 424개 제품이 매칭됩니다.
작업하실 알루미늄이 순수 알루미늄인가요, 아니면 7075 같은 합금인가요? (소재 특성에 따라 날 형상과 코팅이 달라집니다)
  [선택지: 비철금속 | 알루미늄 | 알루미늄 합금 | 상관없음]
👤 사용자: 비철금속
🤖 AI assistant [응답 👍] [선택지 👍]: 네, 비철금속(알루미늄) 가공용으로 좁혔습니다.
현재 10mm 3날 엔드밀 56개 중에서, **코너 형상**이 중요합니다:
• **Square (24개)**: 직각 코너, 측면·바닥 정밀 가공
• **Radius (32개)**: 둥근 코너, 공구 수명 향상, 곡면 가공
어떤 형상이 필요하신가요? 또는 "상관없음"이라고 하시면 범용 제품을 추천드립니다.
  [선택지: Radius (32개) | Square (24개) | 상관없음 | ⟵ 이전 단계]
👤 사용자: 그것들 차이가 뭐야 ?
🤖 AI assistant [응답 👍] [선택지 👍]: 현재 선택하신 조건들로는 추천 가능한 제품이 없습니다.
**toolSubtype(공구 세부 타입)**은 엔드밀의 구체적인 형상을 나타냅니다. 예를 들어 스퀘어(평면 가공용), 볼(곡면 가공용), 라디우스(모서리 R 가공용) 등이 있습니다.
이전 선택 조건을 일부 변경하시면 추천 가능한 제품이 나타날 수 있으며, 특별한 선호가 없으시다면 "상관없음"을 선택하셔도 됩니다.
어떤 조건을 조정해드릴까요?
  [선택지: 쉽게 설명해줘 | 추천으로 골라줘 | 상관없음 | Radius란? | Square란? …]
👤 사용자: Radius란?
🤖 AI assistant [응답 👍] [선택지 👍]: **Tool Subtype - Radius에 대한 설명**
Radius는 공구의 코너 또는 날끝 형상을 나타내는 타입입니다. 일반적으로 엔드밀이나 인서트에서 코너 R(반경) 값을 가진 제품을 의미하며, 가공 시 표면 조도를 개선하고 날 강도를 높이는 역할을 합니다.
현재 필터 조건에서는 Radius 타입의 후보가 없는 상태입니다. 다른 Tool Subtype을 선택하시거나, 이전 단계의 필터 조건을 조정하시면 더 많은 옵션을 확인하실 수 있습니다. 이 항목이 중요하지 않다면 "상관없음"을 선택하셔도 됩니다.
  [선택지: 쉽게 설명해줘 | 추천으로 골라줘 | 상관없음 | Radius란? | Square란? …]
👤 사용자: Square란?
🤖 AI assistant [응답 👍] [선택지 👍]: **공구 서브타입(toolSubtype) - Square 설명**
Square는 **엔드밀의 날 끝 형태**를 나타냅니다. Square 엔드밀은 날 끝이 평평하고 직각으로 되어 있어, 평면 가공이나 측면 가공, 홈 가공에 주로 사용됩니다.
현재 검색 조건으로는 **0개의 후보**가 있습니다. 다른 조건(소재, 코팅, 직경 등)을 조정하시거나, 이 항목을 **"상관없음"으로 선택**하여 더 많은 제품을 찾아보실 수 있습니다.
추가로 궁금한 점이 있으시면 말씀해 주세요!
  [선택지: 쉽게 설명해줘 | 추천으로 골라줘 | 상관없음 | Radius란? | Square란? …]
👤 사용자: E5E8310055, E5E8310045 시리즈의 차이는?
🤖 AI assistant [응답 👍] [선택지 👎]: # YG-1 절삭공구 비교 분석
## 제품 비교표
| 항목 | GEE8310055 | GEE8310045 |
|---|---|---|
| **제품코드** | GEE8310055 | GEE8310045 |
| **시리즈** | E5E83 | E5E83 |
| **브랜드** | ALU-CUT for Korean Market | ALU-CUT for Korean Market |
| **직경** | 10mm | 10mm |
| **날수** | 3날 | 3날 |
| **헬릭스각** | 45° | 45° |
| **코팅** | Bright Finish | Bright Finish |
| **적합 소재** | N (비철금속) | N (비철금속) |
| **매칭 점수** | 85점 (approximate) | 85점 (approximate) |
| **절삭조건** | 없음 | 없음 |
| **재고 상태** | unknown | unknown |
## 제품별 특징
**GEE8310055**
- Long Neck 타입으로 깊은 홈 가공에 유리
- 제품코드 끝자리(55)가 길이 규격을 의미할 가능성
**GEE8310045**
- 동일 시리즈의 Long Neck 타입
- 제품코드 끝자리(45)가 상대적으로 짧은 길이 규격일 가능성
## 결론 및 추천
두 제품은 **동일한 시리즈와 사양**을 가진 알루미늄 가공용 엔드밀이며, 주요 차이는 **제품코드 끝자리(055 vs 045)**로 추정되는 **전체 길이(Overall Length) 또는 날 길이(Flute Length)의 차이**입니다.
- **GEE8310055**: 더 깊은 가공 깊이가 필요한 경우 선택
- **GEE8310045**: 일반적인 깊이의 알루미늄 가공 시 강성이 더 우수하여 추천
정확한 길이 정보 확인 후 가공 깊이에 따라 선택하시기 바랍니다.
[Reference: YG-1 내부 DB]
  [선택지: 추천해주세요 | 다른 조건으로 | ⟵ 이전 단계 | 처음부터 다시]
👤 사용자: E5E8310055, E5E8310045 시리즈의 차이는?
 인데, 왜 GEE8310055 GEE8310045 알려줘?
🤖 AI assistant [응답 👍] [선택지 👍]: 좋은 질문입니다! 사용자님께서 **E5E8310055, E5E8310045** 시리즈의 차이를 물어보셨는데, 시스템이 **GEE8310055, GEE8310045**도 함께 보여준 이유를 설명드리겠습니다.
## 이유:
현재 적용된 필터 조건(**비철금속 가공**)과 시스템의 추천 알고리즘이 작동한 결과입니다:
1. **GEE83 시리즈와 E5E83 시리즈는 같은 제품군**입니다
 - 둘 다 **E5E83** 시리즈에 속하는 3날(3F) 엔드밀입니다
 - 직경 φ10mm, Bright Finish 코팅 동일
 - **approximate 85점**으로 동일한 적합도 점수
2. **제품 코드 차이**:
 - **GEE83xxxxx**: 일반형 제품 코드
 - **E5E83xxxxx**: 동일 시리즈의 다른 규격 또는 변형
3. **뒤 5자리 숫자 (10055, 10045, 10035 등)**:
 - 전체길이(OAL), 절삭날길이(LOC) 등 **세부 치수 규격**을 나타냅니다
 - 같은 시리즈 내에서 길이별 라인업
## 차이점 확인 방법:
상위 5개 제품의 구체적인 스펙 차이를 보시려면:
```
1번이랑 4번 비교해줘
```
또는
```
상위 3개 비교해줘
```
라고 말씀해주시면 **정확한 치수 차이**(전체길이, 날길이 등)를 비교해드리겠습니다!
현재 모두 **approximate 85점**으로 비슷한 적합도를 보이고 있어, 구체적인 가공 조건(홀 깊이, 돌출 길이 등)에 따라 선택하시면 됩니다.
[Reference: YG-1 내부 DB]
  [선택지: 쉽게 설명해줘 | 추천으로 골라줘 | 상관없음 | Radius란? | Square란? …]
👤 사용자: Radius
🤖 AI assistant [응답 👍] [선택지 👍]: **브랜드명:** ALU-CUT for Korean Market | **제품코드:** GED7210030
알루미늄 밀링용으로 ALU-CUT E5D72 GED7210030을 추천드립니다.
✓ 요청하신 직경 10mm 정확 일치
✓ 비철금속 전용 3날 설계 — 칩 배출 원활, 절삭저항 분산
✓ Bright Finish 코팅 — 알루미늄 용착 방지
절삭조건: Vc=251m/min, fz=0.051mm/tooth, 절입깊이=0.2D (신뢰도 90%)
⚠️ 현재 재고 limited — 주문 전 본사(032-526-0909) 재고 확인 권장
동일 스펙 대안 9개 있습니다(E5D7210030 등). 코너 R 없는 스퀘어 타입 필요시 E5D72 표준형으로 변경 가능합니다.
📋 Reference: YG-1 내부 DB
  [선택지: 대체 후보 4개 비교하기 | 절삭조건 알려줘 | 왜 이 제품을 추천했나요? | 다른 코팅 옵션 보기]
👤 사용자: 왜 이 제품을 추천했나요?
🤖 AI assistant [응답 👍] [선택지 👍]: 알루미늄 가공에 최적화된 **ALU-CUT 시리즈 3날 엔드밀**을 추천드렸습니다. 
이 제품들은 45° 나선각과 코너 R 형상으로 알루미늄 가공 시 구성인선을 방지하고 칩 배출이 원활합니다. 3날 설계는 고속 가공과 우수한 면조도를 동시에 확보할 수 있으며, 무코팅(Bright Finish)으로 알루미늄 특유의 점착성을 최소화합니다. φ10mm는 범용성이 높아 다양한 알루미늄 부품 가공에 적합하며, 코너 R 반경(0.5~3mm)별로 황삭부터 정삭까지 선택 가능합니다.
  [선택지: 쉽게 설명해줘 | 추천으로 골라줘 | 상관없음 | recommendation_rationale 설명해줘]
👤 사용자: recommendation_rationale 설명해줘
🤖 AI assistant: 오류가 발생했습니다. 다시 시도해주세요.
👤 사용자: recommendation_rationale 설명해줘
🤖 AI assistant [응답 👍] [선택지 👍]: **recommendation_rationale**은 "추천 근거" 또는 "권장 이유"라는 뜻으로, 추천 시스템이나 의사결정 과정에서 **왜 특정 제품이나 옵션을 제안하는지 그 논리적 근거와 증거를 명확히 설명하는 것**을 의미합니다.
예를 들어 알루미늄 가공용 엔드밀을 추천할 때 단순히 "이 제품이 좋습니다"가 아니라, "3날 설계로 칩 배출이 원활하고, 45° 비틀림각이 절삭 저항을 낮춰 고속 가공에 유리하며, 무코팅 초경으로 알루미늄 특유의 구성인선을 방지합니다"처럼 **구체적 스펙과 가공 원리를 바탕으로 이유를 제시**하는 겁니다.
저희 시스템도 직경·소재·날수 등 여러 조건을 점수화(110점 만점)해 추천하지만, 단순 점수만 보여주지 않고 **각 제품이 왜 적합한지 기술적 근거를 함께 설명**하려 노력합니다.
📌 **웹 검색 참고 (내부 DB 외부 정보)**: Ludwig.guru, ResearchGate 논문 등 언어학 및 추천 시스템 연구 자료
  [선택지: 쉽게 설명해줘 | 추천으로 골라줘 | 상관없음 | recommendation_rationale 설명해줘]
👤 사용자: 지금 선택지중에 재고정보 없는거만 가져와줘
🤖 AI assistant [응답 👍] [선택지 👍]: 알루미늄 밀링 가공용으로 ALU-CUT for Korean Market GED7210030 (E5D72 시리즈)을 추천드립니다.
**추천 근거:**
- 요청하신 φ10mm 직경에 정확히 일치하며, 알루미늄 전용 3날 설계로 칩 배출이 우수합니다
- Bright Finish 코팅으로 비철금속 가공 시 절삭유 없이도 가공면이 깔끔합니다
- 절삭조건: 절삭속도(Vc) 251m/min, 날당이송(fz) 0.051mm/tooth, 절입깊이(ap) 0.2D 권장 (신뢰도 90%)
**참고사항:**
- 현재 재고가 limited 상태이며 납기 정보는 확인이 필요합니다
- 동일 스펙의 대안으로 E5D7210030, GED7210020 등 9개 제품이 있으며, 모두 동일한 성능입니다 (코너 R 사이즈만 차이)
**대안 비교:**
GED7210030~E5D72100까지 10개 제품은 모두 동일 시리즈로 코너 R만 다릅니다. 가공 형상에 따라 선택하시면 됩니다 (정확한 코너 R은 본사 032-526-0909에 문의하세요).
📋 **Reference:**
- 제품 스펙: YG-1 내부 DB (카탈로그 데이터)
- 절삭조건: YG-1 내부 DB (신뢰도 90%)
- 재고 정보: YG-1 내부 DB
  [선택지: 대체 후보 4개 비교하기 | 절삭조건 알려줘 | 왜 이 제품을 추천했나요? | 다른 코팅 옵션 보기]
👤 사용자: GED7210030 재고량 알려줘요
🤖 AI assistant [응답 👍] [선택지 👍]: GED7210030의 재고 데이터를 내부 데이터에서 조회했습니다.
| 항목 | 값 |
| --- | --- |
| 제품코드 | GED7210030 |
| 시리즈 | E5D72 |
| 직경 | φ10mm |
| 전체 지역 합산 재고 | 2개 |
| 재고 상태 | 소량 재고 |
| 기준일 | Wed Mar 18 |
| 지역 | 수량 |
| --- | --- |
| GLC-Export | 2개 |
[Reference: YG-1 내부 재고 데이터]
  [선택지: 다른 제품 재고 | 추천 제품 보기 | 처음부터 다시]
👤 사용자: 지금 익산공장 정보 알려줘요
🤖 AI assistant [응답 👍]: YG-1에 익산공장은 없습니다. 국내 공장은 인천(인천본공장·부평공장·서운공장), 광주, 충주 총 5곳입니다.
👤 사용자: 우리 YG-1의 회장님 이름은 송시한이야? 그리고 공장 어디어디 있어요 ?
🤖 AI assistant [응답 👍]: YG-1 국내 공장은 총 5곳: 인천본공장(인천광역시), 부평공장(인천광역시), 서운공장(인천광역시), 광주공장(광주광역시), 충주공장(충청북도). ❌ 익산공장 없음, 안산공장 현재 없음.</t>
  </si>
  <si>
    <t>🎯 의도: 현재 선택지 중 재고정보가 없는 제품만 추려달라.
✅ 정답 행동: 재고 상태가 명시되지 않은 후보만 선별해 목록으로 제시하고, 각 제품의 핵심 스펙(직경/날수/소재 적합성)만 간단히 함께 보여줘야 한다. 재고 limited/unknown/확인 필요 제품은 제외 기준을 명확히 설명해야 한다.
⚠️ 당시 문제: 재고정보가 있는 제품까지 포함해 추천했음
💬 코멘트 분석: 재고정보가 없는 선택지들만 따로 가져오라는 요구</t>
  </si>
  <si>
    <t>최종 평가: 👍 / 응답: 👍14 총 15개 응답 / 선택지: 👍11 👎1</t>
  </si>
  <si>
    <t>tf-evt-mn5iacpn-cz5v93i6</t>
  </si>
  <si>
    <t>RLH-0107</t>
  </si>
  <si>
    <t>알루미늄 합금용 φ10×100mm 재고 20개 이상 추천 요청</t>
  </si>
  <si>
    <t>🧭 초기 조건: 문의 목적=신규 제품 추천 / 피삭재 (소재)=알루미늄 / 가공 방식=Milling / 공구 직경=10mm
🤖 AI assistant [응답 👍] [선택지 👍]: 알루미늄 소재에 φ10mm 밀링 공구가 필요하시군요. 현재 424개 제품이 매칭됩니다.
작업하실 알루미늄이 연질(순알루미늄)인가요, 아니면 6061 같은 합금인가요?
  [선택지: ABS | 구리 | 동합금 | 비철금속 | 아크릴 …]
👤 사용자: 구리
🤖 AI assistant [응답 👍] [선택지 👎]: "구리" 조건을 적용하면 후보가 없습니다. 현재 424개 후보에서 다른 조건을 선택해주세요.
  [선택지: ABS | 동합금 | 비철금속 | 아크릴 | 알루미늄 …]
👤 사용자: 알루미늄 합금
🤖 AI assistant [응답 👍] [선택지 👍]: 알루미늄 합금 밀링 가공용으로 **GENERAL HSS END MILLS CE7659100**을 추천드립니다.
**추천 근거:**
• 요청하신 직경 10mm와 정확히 일치합니다
• 4날 X-Coating 적용으로 알루미늄 가공 시 칩 배출이 원활하고 공구 수명이 우수합니다
• 비철금속(N군) 전용 설계로 알루미늄 합금 가공에 최적화되어 있습니다
• 현재 재고 보유 중입니다
**대안 제품:**
CE7406100(2날)도 같은 직경이지만, 2날 구조라 깊은 홈 가공이나 칩 배출 공간이 필요한 경우 유리합니다. 일반적인 알루미늄 밀링에는 4날인 CE7659100이 생산성 면에서 더 좋습니다.
**주의사항:**
절삭조건 데이터가 없어 구체적인 절삭속도(Vc), 이송(fz) 정보는 제공할 수 없습니다. 가공 조건 설정은 본사 기술지원팀(032-526-0909)에 문의하시거나 OOS 시스템에서 확인하시기 바랍니다.
📋 **Reference:**
- 제품 스펙: YG-1 내부 DB (카탈로그 데이터)
- 재고 정보: YG-1 내부 DB (검증완료)
- 절삭조건: 정보 없음 (카탈로그 확인 필요)
  [선택지: 대체 후보 4개 비교하기 | 절삭조건 알려줘 | 왜 이 제품을 추천했나요? | 다른 직경 검색]
👤 사용자: 재고 20개 이상 있는거로
🤖 AI assistant [응답 👍] [선택지 👍]: 알루미늄 합금 밀링 가공용으로 **GENERAL HSS END MILLS CE7659100**을 추천드립니다.
**추천 근거:**
- 요청하신 직경 10mm와 정확히 일치합니다
- 4날 설계로 알루미늄 가공 시 칩 배출이 원활하고 가공 효율이 높습니다
- X-Coating이 적용되어 내마모성이 우수하며, 비철금속(N군) 가공에 최적화되어 있습니다
- 현재 재고 보유 중으로 즉시 출고 가능합니다
**대안 제품:**
- **CE7406100** (2날, TiCN 코팅): 깊은 홈 가공이나 측면 절삭이 많은 경우 2날이 더 유리할 수 있습니다. 칩 공간이 넓어 긴 가공 길이에 적합합니다.
**주의사항:**
- 절삭조건(절삭속도, 이송 등) 데이터가 현재 제공되지 않아, 가공 시작 전 카탈로그 또는 기술지원팀(032-526-0909)에 문의하시길 권장합니다
- 납기 정보는 확인되지 않았으나 재고가 있어 빠른 출고가 가능합니다
📋 **Reference:**
- 제품 스펙 및 재고: YG-1 내부 DB
- 소재 적합성 및 코팅 특성: YG-1 카탈로그 데이터
  [선택지: 대체 후보 4개 비교하기 | 절삭조건 알려줘 | 왜 이 제품을 추천했나요? | 다른 직경 검색]
👤 사용자: 이중 전체길이가 100mm인것만
🤖 AI assistant [응답 👍]: 알루미늄 밀링용으로 **GENERAL HSS END MILLS CE7659100**을 추천드립니다.
**추천 근거:**
- 요청하신 직경 10mm에 정확히 일치하며, 4날 구성으로 알루미늄 가공 시 칩 배출이 원활합니다
- X-Coating 적용으로 HSS 대비 공구 수명이 연장되어 경제적입니다
- N군(비철금속) 소재 태그로 알루미늄 합금 가공에 최적화되어 있습니다
- 현재 재고 보유 중으로 즉시 출고 가능합니다
**대안 제품:**
- **CE7406100** (2날, TiCN 코팅): 4날보다 날당 칩 공간이 커서 깊은 홈 가공이나 부드러운 알루미늄 소재에 유리합니다. 1순위와 동일하게 10mm 직경, 100mm 전체길이입니다.
**주의사항:**
- 절삭조건(Vc, fz 등) 정보가 없어 가공 조건은 시험 가공 후 최적화가 필요합니다
- 납기 정보가 확인되지 않아 긴급 출고 시 본사(032-526-0909)에 사전 확인을 권장합니다
📋 **Reference:** YG-1 내부 DB (카탈로그 데이터 + 재고 정보)
  [선택지: 대체 후보 3개 비교하기 | 절삭조건 알려줘 | 왜 이 제품을 추천했나요? | 다른 직경 검색]</t>
  </si>
  <si>
    <t>🎯 의도: 알루미늄 합금 밀링용 φ10mm, 전체길이 100mm, 재고 20개 이상 제품 추천
✅ 정답 행동: 재고 수량 20개 이상이고 전체길이 100mm인 φ10mm 알루미늄 합금용 밀링 제품만 필터링해 1개 또는 대안 몇 개를 제시해야 함. 재고·치수 조건을 충족하는지 명확히 확인해 추천하고, 조건 미충족 제품은 제외해야 함.
⚠️ 당시 문제: 특이사항 없음
💬 코멘트 분석: 최종적으로 응답/선택지 평가가 모두 좋았으므로 사용자는 추가 불만 없이 조건이 잘 맞는 추천을 원함</t>
  </si>
  <si>
    <t>최종 평가: 👍 / 응답: 👍5 총 5개 응답 / 선택지: 👍3 👎1</t>
  </si>
  <si>
    <t>tf-evt-mn5iosu5-3de3os8t</t>
  </si>
  <si>
    <t>RLH-0108</t>
  </si>
  <si>
    <t>알루미늄 φ10 밀링 재고·전장·샹크 정보 확인 요청</t>
  </si>
  <si>
    <t>🧭 초기 조건: 문의 목적=신규 제품 추천 / 피삭재 (소재)=알루미늄 / 가공 방식=Milling / 공구 직경=10mm
🤖 AI assistant [응답 👍] [선택지 👍]: 알루미늄 소재에 φ10mm 밀링 공구가 필요하시군요. 현재 424개 제품이 매칭됩니다.
작업하실 알루미늄이 연질(순알루미늄)인가요, 아니면 6061 같은 합금인가요?
  [선택지: ABS | 구리 | 동합금 | 비철금속 | 아크릴 …]
👤 사용자: 구리
🤖 AI assistant [응답 👍] [선택지 👎]: "구리" 조건을 적용하면 후보가 없습니다. 현재 424개 후보에서 다른 조건을 선택해주세요.
  [선택지: ABS | 동합금 | 비철금속 | 아크릴 | 알루미늄 …]
👤 사용자: 알루미늄 합금
🤖 AI assistant [응답 👍] [선택지 👍]: 알루미늄 합금 밀링 가공용으로 **GENERAL HSS END MILLS CE7659100**을 추천드립니다.
**추천 근거:**
• 요청하신 직경 10mm와 정확히 일치합니다
• 4날 X-Coating 적용으로 알루미늄 가공 시 칩 배출이 원활하고 공구 수명이 우수합니다
• 비철금속(N군) 전용 설계로 알루미늄 합금 가공에 최적화되어 있습니다
• 현재 재고 보유 중입니다
**대안 제품:**
CE7406100(2날)도 같은 직경이지만, 2날 구조라 깊은 홈 가공이나 칩 배출 공간이 필요한 경우 유리합니다. 일반적인 알루미늄 밀링에는 4날인 CE7659100이 생산성 면에서 더 좋습니다.
**주의사항:**
절삭조건 데이터가 없어 구체적인 절삭속도(Vc), 이송(fz) 정보는 제공할 수 없습니다. 가공 조건 설정은 본사 기술지원팀(032-526-0909)에 문의하시거나 OOS 시스템에서 확인하시기 바랍니다.
📋 **Reference:**
- 제품 스펙: YG-1 내부 DB (카탈로그 데이터)
- 재고 정보: YG-1 내부 DB (검증완료)
- 절삭조건: 정보 없음 (카탈로그 확인 필요)
  [선택지: 대체 후보 4개 비교하기 | 절삭조건 알려줘 | 왜 이 제품을 추천했나요? | 다른 직경 검색]
👤 사용자: 재고 20개 이상 있는거로
🤖 AI assistant [응답 👍] [선택지 👍]: 알루미늄 합금 밀링 가공용으로 **GENERAL HSS END MILLS CE7659100**을 추천드립니다.
**추천 근거:**
- 요청하신 직경 10mm와 정확히 일치합니다
- 4날 설계로 알루미늄 가공 시 칩 배출이 원활하고 가공 효율이 높습니다
- X-Coating이 적용되어 내마모성이 우수하며, 비철금속(N군) 가공에 최적화되어 있습니다
- 현재 재고 보유 중으로 즉시 출고 가능합니다
**대안 제품:**
- **CE7406100** (2날, TiCN 코팅): 깊은 홈 가공이나 측면 절삭이 많은 경우 2날이 더 유리할 수 있습니다. 칩 공간이 넓어 긴 가공 길이에 적합합니다.
**주의사항:**
- 절삭조건(절삭속도, 이송 등) 데이터가 현재 제공되지 않아, 가공 시작 전 카탈로그 또는 기술지원팀(032-526-0909)에 문의하시길 권장합니다
- 납기 정보는 확인되지 않았으나 재고가 있어 빠른 출고가 가능합니다
📋 **Reference:**
- 제품 스펙 및 재고: YG-1 내부 DB
- 소재 적합성 및 코팅 특성: YG-1 카탈로그 데이터
  [선택지: 대체 후보 4개 비교하기 | 절삭조건 알려줘 | 왜 이 제품을 추천했나요? | 다른 직경 검색]
👤 사용자: 이중 전체길이가 100mm인것만
🤖 AI assistant [응답 👍]: 알루미늄 밀링용으로 **GENERAL HSS END MILLS CE7659100**을 추천드립니다.
**추천 근거:**
- 요청하신 직경 10mm에 정확히 일치하며, 4날 구성으로 알루미늄 가공 시 칩 배출이 원활합니다
- X-Coating 적용으로 HSS 대비 공구 수명이 연장되어 경제적입니다
- N군(비철금속) 소재 태그로 알루미늄 합금 가공에 최적화되어 있습니다
- 현재 재고 보유 중으로 즉시 출고 가능합니다
**대안 제품:**
- **CE7406100** (2날, TiCN 코팅): 4날보다 날당 칩 공간이 커서 깊은 홈 가공이나 부드러운 알루미늄 소재에 유리합니다. 1순위와 동일하게 10mm 직경, 100mm 전체길이입니다.
**주의사항:**
- 절삭조건(Vc, fz 등) 정보가 없어 가공 조건은 시험 가공 후 최적화가 필요합니다
- 납기 정보가 확인되지 않아 긴급 출고 시 본사(032-526-0909)에 사전 확인을 권장합니다
📋 **Reference:** YG-1 내부 DB (카탈로그 데이터 + 재고 정보)
  [선택지: 대체 후보 3개 비교하기 | 절삭조건 알려줘 | 왜 이 제품을 추천했나요? | 다른 직경 검색]
👤 사용자: CE7659100의 Shank 정보줘
🤖 AI assistant [응답 👍] [선택지 👍]: CE7659100 제품 정보를 내부 DB에서 조회했습니다.
| 항목 | 값 |
| --- | --- |
| 제품코드 | CE7659100 |
| 브랜드 | GENERAL HSS END MILLS |
| 시리즈 | CE7659 |
| 제품명 | HSSCo8(M42) 4 Flute&lt;br/&gt;30°Helix Long End mill&lt;br/&gt;(TiCN) |
| 형상 | Square |
| 직경 | φ10mm |
| 날 수 | 4날 |
| 코팅 | X-Coating |
| 공구 소재 | HSS |
| 생크 직경 | φ10mm |
| 절삭 길이 | 45mm |
| 전장 | 100mm |
| 헬릭스각 | 30° |
| 쿨런트 홀 | - |
| 적용 가공 | Side_Milling, Slotting, Die-Sinking, Small_Part, Facing |
| ISO 소재 | N, P |
설명: HSSCo8(M42) 4 Flute&lt;br/&gt;30°Helix Long End mill&lt;br/&gt;(TiCN)
[Reference: YG-1 내부 DB]
  [선택지: CE7659100 재고 알려줘 | CE7659100 절삭조건 알려줘 | 추천 제품 보기]</t>
  </si>
  <si>
    <t>🎯 의도: 알루미늄 합금용 φ10 밀링 공구를 재고 20개 이상, 전장 100mm 조건으로 찾고 샹크 정보를 확인하려는 것
✅ 정답 행동: 재고 20개 이상이면서 전체길이 100mm인 후보만 필터링해 추천하고, 사용자가 특정 제품의 Shank 정보를 묻자 생크 직경/형상 등 해당 속성을 정확히 조회해 표로 안내했어야 한다.
⚠️ 당시 문제: 특이사항 없음
💬 코멘트 분석: 사용자 코멘트 없음</t>
  </si>
  <si>
    <t>최종 평가: 👍 / 응답: 👍6 총 6개 응답 / 선택지: 👍4 👎1</t>
  </si>
  <si>
    <t>tf-evt-mn5irloh-oncr3kae</t>
  </si>
  <si>
    <t>RLH-0109</t>
  </si>
  <si>
    <t>길이 필터만 바꾸고 재시작 없이 재검색 원함</t>
  </si>
  <si>
    <t>🧭 초기 조건: 문의 목적=신규 제품 추천 / 피삭재 (소재)=알루미늄 / 가공 방식=Milling / 공구 직경=10mm
🤖 AI assistant [응답 👍] [선택지 👍]: 알루미늄 소재에 φ10mm 밀링 공구가 필요하시군요. 현재 424개 제품이 매칭됩니다.
작업하실 알루미늄이 연질(순알루미늄)인가요, 아니면 6061 같은 합금인가요?
  [선택지: ABS | 구리 | 동합금 | 비철금속 | 아크릴 …]
👤 사용자: 구리
🤖 AI assistant [응답 👍] [선택지 👎]: "구리" 조건을 적용하면 후보가 없습니다. 현재 424개 후보에서 다른 조건을 선택해주세요.
  [선택지: ABS | 동합금 | 비철금속 | 아크릴 | 알루미늄 …]
👤 사용자: 알루미늄 합금
🤖 AI assistant [응답 👍] [선택지 👍]: 알루미늄 합금 밀링 가공용으로 **GENERAL HSS END MILLS CE7659100**을 추천드립니다.
**추천 근거:**
• 요청하신 직경 10mm와 정확히 일치합니다
• 4날 X-Coating 적용으로 알루미늄 가공 시 칩 배출이 원활하고 공구 수명이 우수합니다
• 비철금속(N군) 전용 설계로 알루미늄 합금 가공에 최적화되어 있습니다
• 현재 재고 보유 중입니다
**대안 제품:**
CE7406100(2날)도 같은 직경이지만, 2날 구조라 깊은 홈 가공이나 칩 배출 공간이 필요한 경우 유리합니다. 일반적인 알루미늄 밀링에는 4날인 CE7659100이 생산성 면에서 더 좋습니다.
**주의사항:**
절삭조건 데이터가 없어 구체적인 절삭속도(Vc), 이송(fz) 정보는 제공할 수 없습니다. 가공 조건 설정은 본사 기술지원팀(032-526-0909)에 문의하시거나 OOS 시스템에서 확인하시기 바랍니다.
📋 **Reference:**
- 제품 스펙: YG-1 내부 DB (카탈로그 데이터)
- 재고 정보: YG-1 내부 DB (검증완료)
- 절삭조건: 정보 없음 (카탈로그 확인 필요)
  [선택지: 대체 후보 4개 비교하기 | 절삭조건 알려줘 | 왜 이 제품을 추천했나요? | 다른 직경 검색]
👤 사용자: 재고 20개 이상 있는거로
🤖 AI assistant [응답 👍] [선택지 👍]: 알루미늄 합금 밀링 가공용으로 **GENERAL HSS END MILLS CE7659100**을 추천드립니다.
**추천 근거:**
- 요청하신 직경 10mm와 정확히 일치합니다
- 4날 설계로 알루미늄 가공 시 칩 배출이 원활하고 가공 효율이 높습니다
- X-Coating이 적용되어 내마모성이 우수하며, 비철금속(N군) 가공에 최적화되어 있습니다
- 현재 재고 보유 중으로 즉시 출고 가능합니다
**대안 제품:**
- **CE7406100** (2날, TiCN 코팅): 깊은 홈 가공이나 측면 절삭이 많은 경우 2날이 더 유리할 수 있습니다. 칩 공간이 넓어 긴 가공 길이에 적합합니다.
**주의사항:**
- 절삭조건(절삭속도, 이송 등) 데이터가 현재 제공되지 않아, 가공 시작 전 카탈로그 또는 기술지원팀(032-526-0909)에 문의하시길 권장합니다
- 납기 정보는 확인되지 않았으나 재고가 있어 빠른 출고가 가능합니다
📋 **Reference:**
- 제품 스펙 및 재고: YG-1 내부 DB
- 소재 적합성 및 코팅 특성: YG-1 카탈로그 데이터
  [선택지: 대체 후보 4개 비교하기 | 절삭조건 알려줘 | 왜 이 제품을 추천했나요? | 다른 직경 검색]
👤 사용자: 이중 전체길이가 100mm인것만
🤖 AI assistant [응답 👍]: 알루미늄 밀링용으로 **GENERAL HSS END MILLS CE7659100**을 추천드립니다.
**추천 근거:**
- 요청하신 직경 10mm에 정확히 일치하며, 4날 구성으로 알루미늄 가공 시 칩 배출이 원활합니다
- X-Coating 적용으로 HSS 대비 공구 수명이 연장되어 경제적입니다
- N군(비철금속) 소재 태그로 알루미늄 합금 가공에 최적화되어 있습니다
- 현재 재고 보유 중으로 즉시 출고 가능합니다
**대안 제품:**
- **CE7406100** (2날, TiCN 코팅): 4날보다 날당 칩 공간이 커서 깊은 홈 가공이나 부드러운 알루미늄 소재에 유리합니다. 1순위와 동일하게 10mm 직경, 100mm 전체길이입니다.
**주의사항:**
- 절삭조건(Vc, fz 등) 정보가 없어 가공 조건은 시험 가공 후 최적화가 필요합니다
- 납기 정보가 확인되지 않아 긴급 출고 시 본사(032-526-0909)에 사전 확인을 권장합니다
📋 **Reference:** YG-1 내부 DB (카탈로그 데이터 + 재고 정보)
  [선택지: 대체 후보 3개 비교하기 | 절삭조건 알려줘 | 왜 이 제품을 추천했나요? | 다른 직경 검색]
👤 사용자: CE7659100의 Shank 정보줘
🤖 AI assistant [응답 👍] [선택지 👍]: CE7659100 제품 정보를 내부 DB에서 조회했습니다.
| 항목 | 값 |
| --- | --- |
| 제품코드 | CE7659100 |
| 브랜드 | GENERAL HSS END MILLS |
| 시리즈 | CE7659 |
| 제품명 | HSSCo8(M42) 4 Flute&lt;br/&gt;30°Helix Long End mill&lt;br/&gt;(TiCN) |
| 형상 | Square |
| 직경 | φ10mm |
| 날 수 | 4날 |
| 코팅 | X-Coating |
| 공구 소재 | HSS |
| 생크 직경 | φ10mm |
| 절삭 길이 | 45mm |
| 전장 | 100mm |
| 헬릭스각 | 30° |
| 쿨런트 홀 | - |
| 적용 가공 | Side_Milling, Slotting, Die-Sinking, Small_Part, Facing |
| ISO 소재 | N, P |
설명: HSSCo8(M42) 4 Flute&lt;br/&gt;30°Helix Long End mill&lt;br/&gt;(TiCN)
[Reference: YG-1 내부 DB]
  [선택지: CE7659100 재고 알려줘 | CE7659100 절삭조건 알려줘 | 추천 제품 보기]
👤 사용자: 전체적으로 필터를 다시하고 싶은데 재시작하지 않고
🤖 AI assistant: 현재 적용된 필터를 하나씩 되돌리실 수 있습니다!
현재 적용된 필터는 다음과 같습니다:
- **가공 소재**: 알루미늄 합금
- **전체 길이**: 100mm
**되돌리기 방법**:
1. "이전으로" 또는 "되돌려" - 마지막 필터 하나만 취소
2. "알루미늄 합금 선택 전으로" - 해당 필터 적용 전으로 돌아가기
3. "100mm 선택 전으로" - 해당 필터 적용 전으로 돌아가기
또는 특정 필터를 다시 설정하고 싶으시면:
- "소재 변경이 필요하시면 말씀해주세요할래"
- "길이 변경하고 싶어"
어떤 필터부터 다시 하시겠어요? 🔄
[Reference: YG-1 내부 DB]
  [선택지: 대체 후보 3개 비교하기 | 절삭조건 알려줘 | 왜 이 제품을 추천했나요?]
👤 사용자: "길이 변경하고 싶어
🤖 AI assistant [응답 👍] [선택지 👍]: 현재 전체 길이(OAL)가 100mm로 필터링되어 있습니다. 다른 길이로 변경하시겠어요?
원하시는 전체 길이를 말씀해 주시면 변경해 드리겠습니다!
예를 들어:
- "50mm로 변경"
- "75mm"
- "길이 상관없어" (길이 필터 제거)
- "더 짧은 걸로"
- "더 긴 걸로"
어떤 길이를 원하시나요?
[Reference: YG-1 내부 DB]
  [선택지: 대체 후보 3개 비교하기 | 절삭조건 알려줘 | 왜 이 제품을 추천했나요?]</t>
  </si>
  <si>
    <t>🎯 의도: 전체 필터를 재시작 없이 수정하고 싶음
✅ 정답 행동: 현재 적용된 필터를 유지한 채 특정 필터만 변경/해제할 수 있게 안내하고, 사용자가 원하는 새 길이 값을 받기 전까지 확인 질문을 이어가야 함.
⚠️ 당시 문제: 특이사항 없음
💬 코멘트 분석: 최종 평가는 대체로 적절했고 선택지 1개만 부정확했다는 의미임</t>
  </si>
  <si>
    <t>최종 평가: 👍 / 응답: 👍7 총 8개 응답 / 선택지: 👍5 👎1</t>
  </si>
  <si>
    <t>tf-evt-mn5itx4m-regz9ye4</t>
  </si>
  <si>
    <t>RLH-0110</t>
  </si>
  <si>
    <t>75mm 길이로 변경하려 했으나 후보 없음</t>
  </si>
  <si>
    <t>🧭 초기 조건: 문의 목적=신규 제품 추천 / 피삭재 (소재)=알루미늄 / 가공 방식=Milling / 공구 직경=10mm
🤖 AI assistant [응답 👍] [선택지 👍]: 알루미늄 소재에 φ10mm 밀링 공구가 필요하시군요. 현재 424개 제품이 매칭됩니다.
작업하실 알루미늄이 연질(순알루미늄)인가요, 아니면 6061 같은 합금인가요?
  [선택지: ABS | 구리 | 동합금 | 비철금속 | 아크릴 …]
👤 사용자: 구리
🤖 AI assistant [응답 👍] [선택지 👎]: "구리" 조건을 적용하면 후보가 없습니다. 현재 424개 후보에서 다른 조건을 선택해주세요.
  [선택지: ABS | 동합금 | 비철금속 | 아크릴 | 알루미늄 …]
👤 사용자: 알루미늄 합금
🤖 AI assistant [응답 👍] [선택지 👍]: 알루미늄 합금 밀링 가공용으로 **GENERAL HSS END MILLS CE7659100**을 추천드립니다.
**추천 근거:**
• 요청하신 직경 10mm와 정확히 일치합니다
• 4날 X-Coating 적용으로 알루미늄 가공 시 칩 배출이 원활하고 공구 수명이 우수합니다
• 비철금속(N군) 전용 설계로 알루미늄 합금 가공에 최적화되어 있습니다
• 현재 재고 보유 중입니다
**대안 제품:**
CE7406100(2날)도 같은 직경이지만, 2날 구조라 깊은 홈 가공이나 칩 배출 공간이 필요한 경우 유리합니다. 일반적인 알루미늄 밀링에는 4날인 CE7659100이 생산성 면에서 더 좋습니다.
**주의사항:**
절삭조건 데이터가 없어 구체적인 절삭속도(Vc), 이송(fz) 정보는 제공할 수 없습니다. 가공 조건 설정은 본사 기술지원팀(032-526-0909)에 문의하시거나 OOS 시스템에서 확인하시기 바랍니다.
📋 **Reference:**
- 제품 스펙: YG-1 내부 DB (카탈로그 데이터)
- 재고 정보: YG-1 내부 DB (검증완료)
- 절삭조건: 정보 없음 (카탈로그 확인 필요)
  [선택지: 대체 후보 4개 비교하기 | 절삭조건 알려줘 | 왜 이 제품을 추천했나요? | 다른 직경 검색]
👤 사용자: 재고 20개 이상 있는거로
🤖 AI assistant [응답 👍] [선택지 👍]: 알루미늄 합금 밀링 가공용으로 **GENERAL HSS END MILLS CE7659100**을 추천드립니다.
**추천 근거:**
- 요청하신 직경 10mm와 정확히 일치합니다
- 4날 설계로 알루미늄 가공 시 칩 배출이 원활하고 가공 효율이 높습니다
- X-Coating이 적용되어 내마모성이 우수하며, 비철금속(N군) 가공에 최적화되어 있습니다
- 현재 재고 보유 중으로 즉시 출고 가능합니다
**대안 제품:**
- **CE7406100** (2날, TiCN 코팅): 깊은 홈 가공이나 측면 절삭이 많은 경우 2날이 더 유리할 수 있습니다. 칩 공간이 넓어 긴 가공 길이에 적합합니다.
**주의사항:**
- 절삭조건(절삭속도, 이송 등) 데이터가 현재 제공되지 않아, 가공 시작 전 카탈로그 또는 기술지원팀(032-526-0909)에 문의하시길 권장합니다
- 납기 정보는 확인되지 않았으나 재고가 있어 빠른 출고가 가능합니다
📋 **Reference:**
- 제품 스펙 및 재고: YG-1 내부 DB
- 소재 적합성 및 코팅 특성: YG-1 카탈로그 데이터
  [선택지: 대체 후보 4개 비교하기 | 절삭조건 알려줘 | 왜 이 제품을 추천했나요? | 다른 직경 검색]
👤 사용자: 이중 전체길이가 100mm인것만
🤖 AI assistant [응답 👍]: 알루미늄 밀링용으로 **GENERAL HSS END MILLS CE7659100**을 추천드립니다.
**추천 근거:**
- 요청하신 직경 10mm에 정확히 일치하며, 4날 구성으로 알루미늄 가공 시 칩 배출이 원활합니다
- X-Coating 적용으로 HSS 대비 공구 수명이 연장되어 경제적입니다
- N군(비철금속) 소재 태그로 알루미늄 합금 가공에 최적화되어 있습니다
- 현재 재고 보유 중으로 즉시 출고 가능합니다
**대안 제품:**
- **CE7406100** (2날, TiCN 코팅): 4날보다 날당 칩 공간이 커서 깊은 홈 가공이나 부드러운 알루미늄 소재에 유리합니다. 1순위와 동일하게 10mm 직경, 100mm 전체길이입니다.
**주의사항:**
- 절삭조건(Vc, fz 등) 정보가 없어 가공 조건은 시험 가공 후 최적화가 필요합니다
- 납기 정보가 확인되지 않아 긴급 출고 시 본사(032-526-0909)에 사전 확인을 권장합니다
📋 **Reference:** YG-1 내부 DB (카탈로그 데이터 + 재고 정보)
  [선택지: 대체 후보 3개 비교하기 | 절삭조건 알려줘 | 왜 이 제품을 추천했나요? | 다른 직경 검색]
👤 사용자: CE7659100의 Shank 정보줘
🤖 AI assistant [응답 👍] [선택지 👍]: CE7659100 제품 정보를 내부 DB에서 조회했습니다.
| 항목 | 값 |
| --- | --- |
| 제품코드 | CE7659100 |
| 브랜드 | GENERAL HSS END MILLS |
| 시리즈 | CE7659 |
| 제품명 | HSSCo8(M42) 4 Flute&lt;br/&gt;30°Helix Long End mill&lt;br/&gt;(TiCN) |
| 형상 | Square |
| 직경 | φ10mm |
| 날 수 | 4날 |
| 코팅 | X-Coating |
| 공구 소재 | HSS |
| 생크 직경 | φ10mm |
| 절삭 길이 | 45mm |
| 전장 | 100mm |
| 헬릭스각 | 30° |
| 쿨런트 홀 | - |
| 적용 가공 | Side_Milling, Slotting, Die-Sinking, Small_Part, Facing |
| ISO 소재 | N, P |
설명: HSSCo8(M42) 4 Flute&lt;br/&gt;30°Helix Long End mill&lt;br/&gt;(TiCN)
[Reference: YG-1 내부 DB]
  [선택지: CE7659100 재고 알려줘 | CE7659100 절삭조건 알려줘 | 추천 제품 보기]
👤 사용자: 전체적으로 필터를 다시하고 싶은데 재시작하지 않고
🤖 AI assistant: 현재 적용된 필터를 하나씩 되돌리실 수 있습니다!
현재 적용된 필터는 다음과 같습니다:
- **가공 소재**: 알루미늄 합금
- **전체 길이**: 100mm
**되돌리기 방법**:
1. "이전으로" 또는 "되돌려" - 마지막 필터 하나만 취소
2. "알루미늄 합금 선택 전으로" - 해당 필터 적용 전으로 돌아가기
3. "100mm 선택 전으로" - 해당 필터 적용 전으로 돌아가기
또는 특정 필터를 다시 설정하고 싶으시면:
- "소재 변경이 필요하시면 말씀해주세요할래"
- "길이 변경하고 싶어"
어떤 필터부터 다시 하시겠어요? 🔄
[Reference: YG-1 내부 DB]
  [선택지: 대체 후보 3개 비교하기 | 절삭조건 알려줘 | 왜 이 제품을 추천했나요?]
👤 사용자: "길이 변경하고 싶어
🤖 AI assistant [응답 👍] [선택지 👍]: 현재 전체 길이(OAL)가 100mm로 필터링되어 있습니다. 다른 길이로 변경하시겠어요?
원하시는 전체 길이를 말씀해 주시면 변경해 드리겠습니다!
예를 들어:
- "50mm로 변경"
- "75mm"
- "길이 상관없어" (길이 필터 제거)
- "더 짧은 걸로"
- "더 긴 걸로"
어떤 길이를 원하시나요?
[Reference: YG-1 내부 DB]
  [선택지: 대체 후보 3개 비교하기 | 절삭조건 알려줘 | 왜 이 제품을 추천했나요?]
👤 사용자: "75mm
🤖 AI assistant [응답 👍] [선택지 👍]: "75mm" 조건을 적용하면 후보가 없습니다. 현재 4개 후보에서 다른 조건을 선택해주세요.
  [선택지: ⟵ 이전 단계 | 처음부터 다시]</t>
  </si>
  <si>
    <t>🎯 의도: 전체 길이를 75mm로 바꿔 재검색
✅ 정답 행동: 현재 적용된 다른 필터를 유지한 채 전체 길이 75mm 후보를 다시 조회하고, 없으면 가장 가까운 대안 길이나 필터 완화 विकल्प을 제시해야 함.
⚠️ 당시 문제: 75mm 적용 후 후보 없음만 안내하고, 대안 탐색 없이 종료함
💬 코멘트 분석: 사용자는 필터 변경은 원했지만 결과가 없자 더 나은 재검색/대안 제시를 기대함</t>
  </si>
  <si>
    <t>최종 평가: 👍 / 응답: 👍8 총 9개 응답 / 선택지: 👍6 👎1</t>
  </si>
  <si>
    <t>tf-evt-mn5iubq7-pdj1xln5</t>
  </si>
  <si>
    <t>RLH-0111</t>
  </si>
  <si>
    <t>길이 필터 재설정하며 후보 길이 확인 요청</t>
  </si>
  <si>
    <t>🧭 초기 조건: 문의 목적=신규 제품 추천 / 피삭재 (소재)=알루미늄 / 가공 방식=Milling / 공구 직경=10mm
🤖 AI assistant [응답 👍] [선택지 👍]: 알루미늄 소재에 φ10mm 밀링 공구가 필요하시군요. 현재 424개 제품이 매칭됩니다.
작업하실 알루미늄이 연질(순알루미늄)인가요, 아니면 6061 같은 합금인가요?
  [선택지: ABS | 구리 | 동합금 | 비철금속 | 아크릴 …]
👤 사용자: 구리
🤖 AI assistant [응답 👍] [선택지 👎]: "구리" 조건을 적용하면 후보가 없습니다. 현재 424개 후보에서 다른 조건을 선택해주세요.
  [선택지: ABS | 동합금 | 비철금속 | 아크릴 | 알루미늄 …]
👤 사용자: 알루미늄 합금
🤖 AI assistant [응답 👍] [선택지 👍]: 알루미늄 합금 밀링 가공용으로 **GENERAL HSS END MILLS CE7659100**을 추천드립니다.
**추천 근거:**
• 요청하신 직경 10mm와 정확히 일치합니다
• 4날 X-Coating 적용으로 알루미늄 가공 시 칩 배출이 원활하고 공구 수명이 우수합니다
• 비철금속(N군) 전용 설계로 알루미늄 합금 가공에 최적화되어 있습니다
• 현재 재고 보유 중입니다
**대안 제품:**
CE7406100(2날)도 같은 직경이지만, 2날 구조라 깊은 홈 가공이나 칩 배출 공간이 필요한 경우 유리합니다. 일반적인 알루미늄 밀링에는 4날인 CE7659100이 생산성 면에서 더 좋습니다.
**주의사항:**
절삭조건 데이터가 없어 구체적인 절삭속도(Vc), 이송(fz) 정보는 제공할 수 없습니다. 가공 조건 설정은 본사 기술지원팀(032-526-0909)에 문의하시거나 OOS 시스템에서 확인하시기 바랍니다.
📋 **Reference:**
- 제품 스펙: YG-1 내부 DB (카탈로그 데이터)
- 재고 정보: YG-1 내부 DB (검증완료)
- 절삭조건: 정보 없음 (카탈로그 확인 필요)
  [선택지: 대체 후보 4개 비교하기 | 절삭조건 알려줘 | 왜 이 제품을 추천했나요? | 다른 직경 검색]
👤 사용자: 재고 20개 이상 있는거로
🤖 AI assistant [응답 👍] [선택지 👍]: 알루미늄 합금 밀링 가공용으로 **GENERAL HSS END MILLS CE7659100**을 추천드립니다.
**추천 근거:**
- 요청하신 직경 10mm와 정확히 일치합니다
- 4날 설계로 알루미늄 가공 시 칩 배출이 원활하고 가공 효율이 높습니다
- X-Coating이 적용되어 내마모성이 우수하며, 비철금속(N군) 가공에 최적화되어 있습니다
- 현재 재고 보유 중으로 즉시 출고 가능합니다
**대안 제품:**
- **CE7406100** (2날, TiCN 코팅): 깊은 홈 가공이나 측면 절삭이 많은 경우 2날이 더 유리할 수 있습니다. 칩 공간이 넓어 긴 가공 길이에 적합합니다.
**주의사항:**
- 절삭조건(절삭속도, 이송 등) 데이터가 현재 제공되지 않아, 가공 시작 전 카탈로그 또는 기술지원팀(032-526-0909)에 문의하시길 권장합니다
- 납기 정보는 확인되지 않았으나 재고가 있어 빠른 출고가 가능합니다
📋 **Reference:**
- 제품 스펙 및 재고: YG-1 내부 DB
- 소재 적합성 및 코팅 특성: YG-1 카탈로그 데이터
  [선택지: 대체 후보 4개 비교하기 | 절삭조건 알려줘 | 왜 이 제품을 추천했나요? | 다른 직경 검색]
👤 사용자: 이중 전체길이가 100mm인것만
🤖 AI assistant [응답 👍]: 알루미늄 밀링용으로 **GENERAL HSS END MILLS CE7659100**을 추천드립니다.
**추천 근거:**
- 요청하신 직경 10mm에 정확히 일치하며, 4날 구성으로 알루미늄 가공 시 칩 배출이 원활합니다
- X-Coating 적용으로 HSS 대비 공구 수명이 연장되어 경제적입니다
- N군(비철금속) 소재 태그로 알루미늄 합금 가공에 최적화되어 있습니다
- 현재 재고 보유 중으로 즉시 출고 가능합니다
**대안 제품:**
- **CE7406100** (2날, TiCN 코팅): 4날보다 날당 칩 공간이 커서 깊은 홈 가공이나 부드러운 알루미늄 소재에 유리합니다. 1순위와 동일하게 10mm 직경, 100mm 전체길이입니다.
**주의사항:**
- 절삭조건(Vc, fz 등) 정보가 없어 가공 조건은 시험 가공 후 최적화가 필요합니다
- 납기 정보가 확인되지 않아 긴급 출고 시 본사(032-526-0909)에 사전 확인을 권장합니다
📋 **Reference:** YG-1 내부 DB (카탈로그 데이터 + 재고 정보)
  [선택지: 대체 후보 3개 비교하기 | 절삭조건 알려줘 | 왜 이 제품을 추천했나요? | 다른 직경 검색]
👤 사용자: CE7659100의 Shank 정보줘
🤖 AI assistant [응답 👍] [선택지 👍]: CE7659100 제품 정보를 내부 DB에서 조회했습니다.
| 항목 | 값 |
| --- | --- |
| 제품코드 | CE7659100 |
| 브랜드 | GENERAL HSS END MILLS |
| 시리즈 | CE7659 |
| 제품명 | HSSCo8(M42) 4 Flute&lt;br/&gt;30°Helix Long End mill&lt;br/&gt;(TiCN) |
| 형상 | Square |
| 직경 | φ10mm |
| 날 수 | 4날 |
| 코팅 | X-Coating |
| 공구 소재 | HSS |
| 생크 직경 | φ10mm |
| 절삭 길이 | 45mm |
| 전장 | 100mm |
| 헬릭스각 | 30° |
| 쿨런트 홀 | - |
| 적용 가공 | Side_Milling, Slotting, Die-Sinking, Small_Part, Facing |
| ISO 소재 | N, P |
설명: HSSCo8(M42) 4 Flute&lt;br/&gt;30°Helix Long End mill&lt;br/&gt;(TiCN)
[Reference: YG-1 내부 DB]
  [선택지: CE7659100 재고 알려줘 | CE7659100 절삭조건 알려줘 | 추천 제품 보기]
👤 사용자: 전체적으로 필터를 다시하고 싶은데 재시작하지 않고
🤖 AI assistant: 현재 적용된 필터를 하나씩 되돌리실 수 있습니다!
현재 적용된 필터는 다음과 같습니다:
- **가공 소재**: 알루미늄 합금
- **전체 길이**: 100mm
**되돌리기 방법**:
1. "이전으로" 또는 "되돌려" - 마지막 필터 하나만 취소
2. "알루미늄 합금 선택 전으로" - 해당 필터 적용 전으로 돌아가기
3. "100mm 선택 전으로" - 해당 필터 적용 전으로 돌아가기
또는 특정 필터를 다시 설정하고 싶으시면:
- "소재 변경이 필요하시면 말씀해주세요할래"
- "길이 변경하고 싶어"
어떤 필터부터 다시 하시겠어요? 🔄
[Reference: YG-1 내부 DB]
  [선택지: 대체 후보 3개 비교하기 | 절삭조건 알려줘 | 왜 이 제품을 추천했나요?]
👤 사용자: "길이 변경하고 싶어
🤖 AI assistant [응답 👍] [선택지 👍]: 현재 전체 길이(OAL)가 100mm로 필터링되어 있습니다. 다른 길이로 변경하시겠어요?
원하시는 전체 길이를 말씀해 주시면 변경해 드리겠습니다!
예를 들어:
- "50mm로 변경"
- "75mm"
- "길이 상관없어" (길이 필터 제거)
- "더 짧은 걸로"
- "더 긴 걸로"
어떤 길이를 원하시나요?
[Reference: YG-1 내부 DB]
  [선택지: 대체 후보 3개 비교하기 | 절삭조건 알려줘 | 왜 이 제품을 추천했나요?]
👤 사용자: "75mm
🤖 AI assistant [응답 👍] [선택지 👍]: "75mm" 조건을 적용하면 후보가 없습니다. 현재 4개 후보에서 다른 조건을 선택해주세요.
  [선택지: ⟵ 이전 단계 | 처음부터 다시]
👤 사용자: 다른 길이 뭐뭐 있어? Turn 1개서 나왔던 리스트들 중에 기억해?
🤖 AI assistant [응답 👍] [선택지 👍]: 네, 현재 알루미늄 가공용으로 추천된 제품은 총 4가지입니다:
1. **CE7659100** - φ10mm, 4날, X-Coating
2. **CE7406100** - φ10mm, 2날, TiCN 코팅
3. **CE7659090** - φ9mm, 4날, X-Coating
4. **CE7406090** - φ9mm, 2날, TiCN 코팅
φ10mm 제품 2개가 76점으로 가장 높은 매칭률을 보이고, φ9mm 제품 2개는 48점입니다. 황삭에는 4날(CE7659 시리즈), 정밀가공에는 2날(CE7406 시리즈)이 적합합니다.
  [선택지: ⟵ 이전 단계 | 처음부터 다시]</t>
  </si>
  <si>
    <t>🎯 의도: 재시작 없이 전체 길이 필터를 바꾸고 후보 길이 목록을 확인하려는 것
✅ 정답 행동: 현재 적용된 길이 필터를 해제하거나 다른 길이로 재필터링할 수 있다고 안내하고, 기존 추천 리스트/가능한 길이들을 함께 제시해야 함. 사용자가 “다른 길이 뭐뭐 있어?”라고 묻자 현재 기억 가능한 후보 길이와 각 제품의 OAL을 정확히 정리해 보여줘야 함.
⚠️ 당시 문제: 특이사항 없음
💬 코멘트 분석: 코멘트 없음</t>
  </si>
  <si>
    <t>최종 평가: 👍 / 응답: 👍9 총 10개 응답 / 선택지: 👍7 👎1</t>
  </si>
  <si>
    <t>tf-evt-mn5iuwo8-jne6zp70</t>
  </si>
  <si>
    <t>RLH-0112</t>
  </si>
  <si>
    <t>알루미늄합금 φ8 밀링용 2날 제품 추천 요청</t>
  </si>
  <si>
    <t>🧭 초기 조건: 문의 목적=신규 제품 추천 / 피삭재 (소재)=알루미늄 / 가공 방식=Milling / 공구 직경=8mm
🤖 AI assistant [응답 👍] [선택지 👍]: 알루미늄 8mm 엔드밀이시군요. 현재 406개 제품이 매칭됩니다.
알루미늄 중에서도 구체적인 소재를 알려주시면 더 정확한 추천이 가능합니다. 어떤 소재인가요?
  [선택지: 비철금속 | 알루미늄 | 알루미늄 합금 | 상관없음]
👤 사용자: 알루미늄 합금
🤖 AI assistant [응답 👍] [선택지 👍]: 알루미늄 합금 밀링 가공용으로 **GENERAL HSS END MILLS CE7659908**을 추천드립니다.
**추천 근거:**
- 요청하신 φ8mm 직경과 정확히 일치합니다
- 4날 구조로 알루미늄 가공 시 칩 배출이 원활하며, X-Coating으로 내마모성이 우수합니다
- N군(비철금속) 소재 전용 설계로 알루미늄 합금 가공에 최적화되어 있습니다
- 현재 재고 보유 중으로 즉시 출고 가능합니다
**대안 옵션:**
만약 더 부드러운 표면조도가 필요하시면 **CE7406905**(2날, φ8mm)도 고려해볼 만합니다. 날 수가 적어 칩 공간이 넓어 고속 가공에 유리하지만, 4날 대비 공구 수명은 짧을 수 있습니다.
⚠️ **참고사항:**
- 절삭조건 데이터가 현재 확인되지 않아, 초기 가공 시 보수적인 조건(Vc 150-200m/min, fz 0.05-0.08mm/tooth)으로 시작 후 조정을 권장합니다
- 정확한 납기는 본사(032-526-0909)로 문의 부탁드립니다
📋 **Reference:** YG-1 내부 DB (카탈로그 데이터, 재고 정보)
  [선택지: 날수로 좁히기 (2날/4날) | 대체 후보 4개 비교하기 | 왜 이 제품을 추천했나요? | 절삭조건 알려줘 | 다른 코팅 옵션 보기 …]
👤 사용자: 날수로 좁히기 (2날/4날)
🤖 AI assistant [응답 👍] [선택지 👍]: 알루미늄 합금 가공용으로 **GENERAL HSS END MILLS CE7406905**를 추천드립니다.
**추천 근거:**
- 요청하신 φ8mm 직경과 정확히 일치합니다
- 2날 설계로 알루미늄 가공 시 칩 배출이 원활합니다
- X-Coating 처리로 비철금속(N군) 가공에 최적화되어 있습니다
**대안 제품:**
- **CE7406904** (φ7mm, 2날, X-Coating): 직경만 1mm 작고 나머지 스펙 동일
- **CE7406090** (φ9mm, 2날, TiCN): 직경 1mm 크고 TiCN 코팅 적용
**주의사항:**
- 재고 및 납기 정보는 본사(032-526-0909) 또는 온라인주문(oos.yg1.solutions)에서 확인하세요
- 절삭조건은 현재 데이터에 없으므로 카탈로그 참조가 필요합니다
📋 **Reference:** YG-1 내부 DB (카탈로그 스펙 데이터)
  [선택지: 코팅으로 좁히기 (X-Coating/TiCN) | 대체 후보 4개 비교하기 | 왜 이 제품을 추천했나요? | 절삭조건 알려줘 | 다른 직경 검색 …]</t>
  </si>
  <si>
    <t>🎯 의도: 알루미늄 합금용 φ8mm 밀링 공구를 2날 기준으로 좁혀 추천받기
✅ 정답 행동: φ8mm 조건을 유지한 채 2날 알루미늄 합금용 엔드밀로 정확히 필터링해 추천하고, 대안도 같은 기준에서 제시해야 함.
⚠️ 당시 문제: 특이사항 없음
💬 코멘트 분석: 최종 평가와 응답/선택지 모두 만족했다는 의미</t>
  </si>
  <si>
    <t>tf-evt-mn5lapgn-xugbeu3e</t>
  </si>
  <si>
    <t>RLH-0113</t>
  </si>
  <si>
    <t>2날/4날 필터 기준과 현재 제품 날수 확인</t>
  </si>
  <si>
    <t>🧭 초기 조건: 문의 목적=신규 제품 추천 / 피삭재 (소재)=알루미늄 / 가공 방식=Milling / 공구 직경=8mm
🤖 AI assistant [응답 👍] [선택지 👍]: 알루미늄 8mm 엔드밀이시군요. 현재 406개 제품이 매칭됩니다.
알루미늄 중에서도 구체적인 소재를 알려주시면 더 정확한 추천이 가능합니다. 어떤 소재인가요?
  [선택지: 비철금속 | 알루미늄 | 알루미늄 합금 | 상관없음]
👤 사용자: 알루미늄 합금
🤖 AI assistant [응답 👍] [선택지 👍]: 알루미늄 합금 밀링 가공용으로 **GENERAL HSS END MILLS CE7659908**을 추천드립니다.
**추천 근거:**
- 요청하신 φ8mm 직경과 정확히 일치합니다
- 4날 구조로 알루미늄 가공 시 칩 배출이 원활하며, X-Coating으로 내마모성이 우수합니다
- N군(비철금속) 소재 전용 설계로 알루미늄 합금 가공에 최적화되어 있습니다
- 현재 재고 보유 중으로 즉시 출고 가능합니다
**대안 옵션:**
만약 더 부드러운 표면조도가 필요하시면 **CE7406905**(2날, φ8mm)도 고려해볼 만합니다. 날 수가 적어 칩 공간이 넓어 고속 가공에 유리하지만, 4날 대비 공구 수명은 짧을 수 있습니다.
⚠️ **참고사항:**
- 절삭조건 데이터가 현재 확인되지 않아, 초기 가공 시 보수적인 조건(Vc 150-200m/min, fz 0.05-0.08mm/tooth)으로 시작 후 조정을 권장합니다
- 정확한 납기는 본사(032-526-0909)로 문의 부탁드립니다
📋 **Reference:** YG-1 내부 DB (카탈로그 데이터, 재고 정보)
  [선택지: 날수로 좁히기 (2날/4날) | 대체 후보 4개 비교하기 | 왜 이 제품을 추천했나요? | 절삭조건 알려줘 | 다른 코팅 옵션 보기 …]
👤 사용자: 날수로 좁히기 (2날/4날)
🤖 AI assistant [응답 👍] [선택지 👍]: 알루미늄 합금 가공용으로 **GENERAL HSS END MILLS CE7406905**를 추천드립니다.
**추천 근거:**
- 요청하신 φ8mm 직경과 정확히 일치합니다
- 2날 설계로 알루미늄 가공 시 칩 배출이 원활합니다
- X-Coating 처리로 비철금속(N군) 가공에 최적화되어 있습니다
**대안 제품:**
- **CE7406904** (φ7mm, 2날, X-Coating): 직경만 1mm 작고 나머지 스펙 동일
- **CE7406090** (φ9mm, 2날, TiCN): 직경 1mm 크고 TiCN 코팅 적용
**주의사항:**
- 재고 및 납기 정보는 본사(032-526-0909) 또는 온라인주문(oos.yg1.solutions)에서 확인하세요
- 절삭조건은 현재 데이터에 없으므로 카탈로그 참조가 필요합니다
📋 **Reference:** YG-1 내부 DB (카탈로그 스펙 데이터)
  [선택지: 코팅으로 좁히기 (X-Coating/TiCN) | 대체 후보 4개 비교하기 | 왜 이 제품을 추천했나요? | 절삭조건 알려줘 | 다른 직경 검색 …]
👤 사용자: 너가 2날 4날로 나누려고 했는데 지금 제품들 2날들이라는 말이지 ?
🤖 AI assistant [응답 👍] [선택지 👍]: 네, 맞습니다! 
"날수로 좁히기 (2날/4날)" 칩을 선택하셨을 때 제가 **2날 제품만** 필터링해서 보여드린 것입니다. 현재 표시된 5개 제품(CE7406905, CE7406904, CE7406090, CE7406903, CE7406100)은 모두 **2날(2F)** 엔드밀입니다.
4날 제품도 보시겠습니까? 아니면 2날 중에서 코팅(X-Coating/TiCN)으로 추가 선택하시겠습니까?
  [선택지: 쉽게 설명해줘 | 추천으로 골라줘 | 상관없음 | 제품 분류 기준(2날 vs 4날 구분) 설명해줘]</t>
  </si>
  <si>
    <t>🎯 의도: 2날/4날 선택 시 실제로 표시된 제품들이 모두 2날인지 확인하려는 것
✅ 정답 행동: 현재 보여준 제품들이 전부 2날(2F)인지 명확히 확인하고, 4날 제품도 별도로 보고 싶으면 다시 필터링해 제안했어야 합니다. 혼동이 없도록 2날/4날 구분 기준도 짧게 설명했어야 합니다.
⚠️ 당시 문제: 특이사항 없음
💬 코멘트 분석: 코멘트 없음</t>
  </si>
  <si>
    <t>tf-evt-mn5lc5pg-80473cb4</t>
  </si>
  <si>
    <t>RLH-0114</t>
  </si>
  <si>
    <t>알루미늄 합금용 2날·4날 차이 설명 요청</t>
  </si>
  <si>
    <t>🧭 초기 조건: 문의 목적=신규 제품 추천 / 피삭재 (소재)=알루미늄 / 가공 방식=Milling / 공구 직경=8mm
🤖 AI assistant [응답 👍] [선택지 👍]: 알루미늄 8mm 엔드밀이시군요. 현재 406개 제품이 매칭됩니다.
알루미늄 중에서도 구체적인 소재를 알려주시면 더 정확한 추천이 가능합니다. 어떤 소재인가요?
  [선택지: 비철금속 | 알루미늄 | 알루미늄 합금 | 상관없음]
👤 사용자: 알루미늄 합금
🤖 AI assistant [응답 👍] [선택지 👍]: 알루미늄 합금 밀링 가공용으로 **GENERAL HSS END MILLS CE7659908**을 추천드립니다.
**추천 근거:**
- 요청하신 φ8mm 직경과 정확히 일치합니다
- 4날 구조로 알루미늄 가공 시 칩 배출이 원활하며, X-Coating으로 내마모성이 우수합니다
- N군(비철금속) 소재 전용 설계로 알루미늄 합금 가공에 최적화되어 있습니다
- 현재 재고 보유 중으로 즉시 출고 가능합니다
**대안 옵션:**
만약 더 부드러운 표면조도가 필요하시면 **CE7406905**(2날, φ8mm)도 고려해볼 만합니다. 날 수가 적어 칩 공간이 넓어 고속 가공에 유리하지만, 4날 대비 공구 수명은 짧을 수 있습니다.
⚠️ **참고사항:**
- 절삭조건 데이터가 현재 확인되지 않아, 초기 가공 시 보수적인 조건(Vc 150-200m/min, fz 0.05-0.08mm/tooth)으로 시작 후 조정을 권장합니다
- 정확한 납기는 본사(032-526-0909)로 문의 부탁드립니다
📋 **Reference:** YG-1 내부 DB (카탈로그 데이터, 재고 정보)
  [선택지: 날수로 좁히기 (2날/4날) | 대체 후보 4개 비교하기 | 왜 이 제품을 추천했나요? | 절삭조건 알려줘 | 다른 코팅 옵션 보기 …]
👤 사용자: 날수로 좁히기 (2날/4날)
🤖 AI assistant [응답 👍] [선택지 👍]: 알루미늄 합금 가공용으로 **GENERAL HSS END MILLS CE7406905**를 추천드립니다.
**추천 근거:**
- 요청하신 φ8mm 직경과 정확히 일치합니다
- 2날 설계로 알루미늄 가공 시 칩 배출이 원활합니다
- X-Coating 처리로 비철금속(N군) 가공에 최적화되어 있습니다
**대안 제품:**
- **CE7406904** (φ7mm, 2날, X-Coating): 직경만 1mm 작고 나머지 스펙 동일
- **CE7406090** (φ9mm, 2날, TiCN): 직경 1mm 크고 TiCN 코팅 적용
**주의사항:**
- 재고 및 납기 정보는 본사(032-526-0909) 또는 온라인주문(oos.yg1.solutions)에서 확인하세요
- 절삭조건은 현재 데이터에 없으므로 카탈로그 참조가 필요합니다
📋 **Reference:** YG-1 내부 DB (카탈로그 스펙 데이터)
  [선택지: 코팅으로 좁히기 (X-Coating/TiCN) | 대체 후보 4개 비교하기 | 왜 이 제품을 추천했나요? | 절삭조건 알려줘 | 다른 직경 검색 …]
👤 사용자: 너가 2날 4날로 나누려고 했는데 지금 제품들 2날들이라는 말이지 ?
🤖 AI assistant [응답 👍] [선택지 👍]: 네, 맞습니다! 
"날수로 좁히기 (2날/4날)" 칩을 선택하셨을 때 제가 **2날 제품만** 필터링해서 보여드린 것입니다. 현재 표시된 5개 제품(CE7406905, CE7406904, CE7406090, CE7406903, CE7406100)은 모두 **2날(2F)** 엔드밀입니다.
4날 제품도 보시겠습니까? 아니면 2날 중에서 코팅(X-Coating/TiCN)으로 추가 선택하시겠습니까?
  [선택지: 쉽게 설명해줘 | 추천으로 골라줘 | 상관없음 | 제품 분류 기준(2날 vs 4날 구분) 설명해줘]
👤 사용자: 제품 분류 기준(2날 vs 4날 구분) 설명해줘
🤖 AI assistant [응답 👍] [선택지 👍]: 엔드밀의 **날수(Flute Count)**는 가공 특성에 따라 선택하는 중요한 기준입니다.
**2날 엔드밀:**
- 넓은 칩 배출 공간으로 알루미늄처럼 긴 칩이 나오는 소재에 유리합니다
- 높은 이송 속도 가능, 깊은 홈/슬롯 가공에 적합합니다
- 강성이 상대적으로 낮아 진동이 발생할 수 있습니다
**4날 엔드밀:**
- 강성이 높아 진동이 적고 면조도가 우수합니다
- 정밀 가공, 측면 가공, 황삭/정삭 겸용에 적합합니다
- 칩 배출 공간이 좁아 알루미늄 가공 시 칩 막힘 주의가 필요합니다
알루미늄 합금은 일반적으로 **2날**을 권장하지만, 정밀도가 중요하거나 얕은 깊이 가공이면 4날도 고려할 수 있습니다.
  [선택지: 쉽게 설명해줘 | 추천으로 골라줘 | 상관없음 | product_classification_criteria 설명해줘]</t>
  </si>
  <si>
    <t>🎯 의도: 알루미늄 합금 가공에서 2날/4날 분류 기준을 이해하고 싶음
✅ 정답 행동: 2날과 4날 엔드밀의 차이를 칩 배출, 강성, 면조도, 가공 적합성 중심으로 간단히 설명해야 함. 특히 알루미늄 합금엔 보통 2날이 유리하다는 점과, 정밀/면조도 우선 시 4날도 고려 가능하다고 안내해야 함.
⚠️ 당시 문제: 특이사항 없음
💬 코멘트 분석: 코멘트 없음</t>
  </si>
  <si>
    <t>tf-evt-mn5lm4fa-174wszhr</t>
  </si>
  <si>
    <t>RLH-0115</t>
  </si>
  <si>
    <t>티타늄 φ10 슬롯 가공용 4날 공구 추천 진행</t>
  </si>
  <si>
    <t>🧭 초기 조건: 문의 목적=신규 제품 추천 / 피삭재 (소재)=티타늄 / 가공 형상=Slotting / 가공 방식=Milling / 공구 직경=10mm
🤖 AI assistant: 티타늄 소재를 φ10mm로 슬로팅 가공하시는군요. 현재 353개 제품이 매칭됩니다.
티타늄 중에서도 정확히 어떤 소재인가요?
  [선택지: 내열합금 | 인코넬 | 티타늄 | 티타늄 합금 | 상관없음]
👤 사용자: 상관없음
🤖 AI assistant: 현재 353개 후보가 있습니다. 날 수(flute) 선호가 있으신가요?
  [선택지: 4날 (200개) | 6날 (51개) | 3날 (41개) | 5날 (32개) | 상관없음 …]
👤 사용자: 4날 (200개)
🤖 AI assistant [응답 👍] [선택지 👍]: 코팅 종류 선호가 있으신가요? 후보 중에 Y-Coating, K2, TiAlN 등이 있습니다.
  [선택지: Y-Coating (71개) | TiAlN (57개) | AlTiN (33개) | T-Coating (31개) | 상관없음 …]</t>
  </si>
  <si>
    <t>🎯 의도: 티타늄 Slotting용 φ10mm 공구를 조건별로 추천받고 싶음
✅ 정답 행동: 4날 선택을 반영해 코팅/재질/시리즈를 이어서 좁히고, 현재 후보군 중 적합한 제품을 바로 제안해야 함. 필요한 경우 절삭 조건까지 확인해 최종 추천으로 연결했어야 함.
⚠️ 당시 문제: 특이사항 없음
💬 코멘트 분석: 응답과 선택지가 적절했고 다음 조건 질문으로 자연스럽게 이어짐</t>
  </si>
  <si>
    <t>최종 평가: 👍 / 응답: 👍1 총 3개 응답 / 선택지: 👍1</t>
  </si>
  <si>
    <t>tf-evt-mn60ka8m-c83igmre</t>
  </si>
  <si>
    <t>RLH-0116</t>
  </si>
  <si>
    <t>알루미늄 8mm 러핑 공구 추천을 원함</t>
  </si>
  <si>
    <t>🧭 초기 조건: 문의 목적=신규 제품 추천 / 피삭재 (소재)=알루미늄 / 가공 방식=Milling / 공구 직경=8mm
🤖 AI assistant [응답 👍] [선택지 👍]: 알루미늄 8mm 밀링 가공이시군요. 현재 406개 제품이 매칭됩니다.
어떤 날 형상이 필요하세요? Square(251개), Radius(75개), Roughing(28개), Drill Mill(12개) 중 선택해주시거나, 상관없으시면 말씀해주세요.
  [선택지: Square (251개) | Radius (75개) | Roughing (28개) | Drill Mill (12개) | 상관없음]
👤 사용자: Roughing (28개)
🤖 AI assistant [응답 👍] [선택지 👍]: 네, Roughing 엔드밀 28개 중에서 찾아드리겠습니다.
직경은 정확히 8mm로 하시겠습니까? 아니면 6mm, 7mm, 9mm, 10mm 중 다른 사이즈도 고려하시나요?
  [선택지: 6mm | 7mm | 8mm | 9mm | 10mm …]
👤 사용자: 8mm
🤖 AI assistant [응답 👍] [선택지 👍]: 직경 8mm 근처에 6, 7, 8, 9, 10mm가 있습니다. 정확한 직경을 선택해주세요.
  [선택지: 6mm | 7mm | 8mm | 9mm | 10mm …]</t>
  </si>
  <si>
    <t>🎯 의도: 알루미늄 밀링용 8mm 러핑 엔드밀 추천받기
✅ 정답 행동: 사용자가 이미 8mm를 선택했으므로 추가 재질/직경 재질문 없이 다음 단계로 넘어가야 함. 러핑 조건에 맞는 실제 후보를 제시하거나, 최소한 8mm 확정 후 추천 리스트로 안내해야 함.
⚠️ 당시 문제: 8mm 선택 후에도 같은 직경 재확인을 반복해 진행이 정체됨
💬 코멘트 분석: 코멘트 없음</t>
  </si>
  <si>
    <t>tf-evt-mn6553ab-11phhs00</t>
  </si>
  <si>
    <t>RLH-0117</t>
  </si>
  <si>
    <t>10mm 알루미늄 러핑 3날 제품 선택 진행</t>
  </si>
  <si>
    <t>🧭 초기 조건: 문의 목적=신규 제품 추천 / 피삭재 (소재)=알루미늄 / 가공 방식=Milling / 공구 직경=10mm
🤖 AI assistant [응답 👍] [선택지 👍]: 알루미늄 밀링용 φ10mm 엔드밀이시군요. 현재 424개 제품이 매칭됩니다.
날 형상을 선택해주세요. Square(252개), Radius(95개), Roughing(24개), Drill Mill(8개) 중 어떤 게 필요하신가요?
  [선택지: Square (252개) | Radius (95개) | Roughing (24개) | Drill Mill (8개) | 상관없음]
👤 사용자: Roughing (24개)
🤖 AI assistant [응답 👍] [선택지 👍]: 네, Roughing 엔드밀 24개 중에서 찾아드릴게요.
날 수는 어떤 걸 선호하세요? 3날은 칩 배출이 좋고, 4날은 마무리 품질이 더 좋습니다.
  [선택지: 3날 (13개) | 4날 (11개) | 상관없음 | ⟵ 이전 단계]
👤 사용자: 3날 (13개)
🤖 AI assistant [응답 👍] [선택지 👍]: 3날 제품 13개로 좁혔습니다.
직경은 8mm, 9mm, 10mm, 12mm 중 어떤 걸로 할까요?
  [선택지: 8mm | 9mm | 10mm | 12mm | ⟵ 이전 단계]</t>
  </si>
  <si>
    <t>🎯 의도: 알루미늄 밀링용 10mm 러핑 3날 공구를 추천받고 싶음
✅ 정답 행동: 사용자가 이미 직경 10mm를 초기 조건으로 제시했으므로 직경을 다시 묻지 말고, 3날 러핑 조건을 기준으로 바로 다음 핵심 조건(예: 코팅, 유효날장, 절삭 길이, 손잡이/전장)으로 좁혀야 함. 필요하면 해당 조건 중 우선순위를 안내하며 추천 리스트를 제시해야 함.
⚠️ 당시 문제: 직경 10mm가 이미 주어졌는데 다시 8/9/10/12mm를 선택하게 함
💬 코멘트 분석: 최종 평가는 좋지만 직경 재질문이 불필요하다는 요구가 핵심</t>
  </si>
  <si>
    <t>tf-evt-mn6hsod0-pjo8gm23</t>
  </si>
  <si>
    <t>RLH-0118</t>
  </si>
  <si>
    <t>알루미늄 8mm 사이드밀링 공구 추천 진행 원함</t>
  </si>
  <si>
    <t>🧭 초기 조건: 문의 목적=신규 제품 추천 / 피삭재 (소재)=알루미늄 / 가공 형상=Side_Milling / 가공 방식=Milling / 공구 직경=8mm
🤖 AI assistant [응답 👍] [선택지 👍]: 알루미늄 8mm 사이드 밀링용 엔드밀이시군요. 현재 406개 제품이 매칭됩니다.
공구 형상이 중요하신가요? Square(251개), Radius(75개), Roughing(28개), Drill Mill(12개) 중에서 선호하시는 게 있으신가요?
  [선택지: Square (251개) | Radius (75개) | Roughing (28개) | Drill Mill (12개) | 상관없음]
👤 사용자: 이게 뭐야 추천해주고 그거로 진행해줘요
🤖 AI assistant [응답 👍] [선택지 👎]: 현재 406개 후보가 있습니다. 날 수(flute) 선호가 있으신가요?
  [선택지: 추천으로 골라줘 | 쉽게 설명해줘 | 3날 (193개)란? | 4날 (140개)란? | 상관없음]
👤 사용자: 3날 (193개)란?
🤖 AI assistant [응답 👍] [선택지 👍]: **3날 (3 flute)**은 엔드밀 절삭날이 3개인 제품을 의미합니다. 
알루미늄 가공에서 3날은 칩 배출 공간이 넓어 칩이 잘 빠지고, 절삭 속도를 높일 수 있어 생산성이 우수합니다. 4날보다 강성은 약간 낮지만, 알루미늄처럼 부드러운 소재에서는 칩 막힘 없이 빠른 가공이 가능해 많이 선호됩니다. 
현재 조건에서 3날 제품이 193개 있으며, 특별한 선호가 없으시면 "상관없음"을 선택하셔도 됩니다.
  [선택지: 쉽게 설명해줘 | 추천으로 골라줘 | 상관없음 | 3날이란? | 1날이란? …]
👤 사용자: 추천으로 골라줘
🤖 AI assistant [응답 👍] [선택지 👍]: 직경 8mm 근처에 6, 6.35, 6.5, 7, 7.5mm가 있습니다. 정확한 직경을 선택해주세요.
  [선택지: 추천으로 골라줘 | 6mm | 6.35mm | 6.5mm | 7mm …]</t>
  </si>
  <si>
    <t>🎯 의도: 알루미늄 8mm 사이드 밀링용 공구를 추천받고 바로 진행
✅ 정답 행동: 3날이 알루미늄에 적합하다는 점을 바탕으로 후보를 자동 추천해 다음 조건 없이 구체 제품 1개를 제시했어야 함. 직경은 8mm 기준으로 유지하고, 필요 시 최종 후보 1개와 대체 1~2개만 간단히 안내했어야 함.
⚠️ 당시 문제: 사용자는 “추천해주고 그거로 진행”을 요청했는데, 추가 선택지로 다시 되물어 흐름이 끊김
💬 코멘트 분석: 추천을 직접 골라 진행해달라는 요구가 핵심</t>
  </si>
  <si>
    <t>tf-evt-mn6lrkau-saupck3q</t>
  </si>
  <si>
    <t>RLH-0119</t>
  </si>
  <si>
    <t>알루미늄 합금 φ8 Radius 공구 추천 요청</t>
  </si>
  <si>
    <t>🧭 초기 조건: 문의 목적=신규 제품 추천 / 피삭재 (소재)=알루미늄 / 가공 형상=Side_Milling / 가공 방식=Milling / 공구 직경=8mm
🤖 AI assistant [응답 👍] [선택지 👍]: 선택하신 소재는 ISO N (비철)군입니다. 세부 피삭재를 선택해주세요.
  [선택지: 비철금속 | 알루미늄 | 알루미늄 합금 | 상관없음]
👤 사용자: 알루미늄 합금
🤖 AI assistant [응답 👍] [선택지 👍]: 알루미늄 합금 가공용 공구를 찾고 계시는군요. 현재 60개 제품이 모두 알루미늄 전용 'ALU-CUT' 시리즈입니다.
공구 끝 형상을 정하면 더 정확한 추천이 가능합니다:
• **Square(평날, 34개)** - 밑면·측면 직각 가공, 코너 R 필요 없을 때
• **Radius(볼노즈, 26개)** - 곡면·모서리 라운딩, 표면조도 중요할 때
어떤 형상이 필요하신가요?
  [선택지: Square (34개) | Radius (26개) | 상관없음 | ⟵ 이전 단계]
👤 사용자: Radius (26개)
🤖 AI assistant [응답 👍] [선택지 👍]: **브랜드명:** ALU-CUT for Korean Market | **제품코드:** GED7208030
알루미늄 Side Milling용으로 **ALU-CUT E5D72 시리즈 GED7208030**을 추천드립니다.
**추천 근거:**
1. 요청하신 φ8mm 직경과 정확히 일치하며, 알루미늄(N군) 전용 설계입니다.
2. Radius 형상으로 Side Milling에 최적화되어 있고, 3날 구조로 칩 배출과 표면조도가 우수합니다.
3. Bright Finish(무코팅)로 알루미늄 가공 시 용착 방지 효과가 좋습니다.
**절삭조건 (신뢰도 90%):**
- 절삭속도(Vc): 201 m/min
- 날당이송(fz): 0.042 mm/tooth
- 절입깊이(ap): 1.6mm (0.2D)
**대안:** E5D7208030은 GED 모델과 동일 스펙이며, 동일한 절삭조건으로 사용 가능합니다. GED/E5D 시리즈는 날장 길이(LOC)만 다르므로, 가공 깊이에 따라 선택하시면 됩니다.
⚠️ 재고/납기 정보는 확인이 필요합니다. 본사(032-526-0909) 또는 온라인 주문(oos.yg1.solutions)에서 확인해주세요.
📋 **Reference:** YG-1 내부 DB (카탈로그 스펙, 절삭조건 데이터)
  [선택지: 상위 3개 비교 | GED7208030 상세 정보 | 다른 코팅 옵션 보기 | φ8mm 외 다른 직경 | Aluminum 가공 팁 보기 …]</t>
  </si>
  <si>
    <t>🎯 의도: 알루미늄 합금용 8mm Radius 측면가공 공구 추천
✅ 정답 행동: 알루미늄 합금, Side Milling, φ8mm 조건에 맞는 공구를 제시하고 형상/코팅/날수와 함께 추천 근거를 간단히 설명했어야 한다. 재고는 별도 확인 안내하고, 필요 시 대안 제품이나 절삭조건도 함께 안내한다.
⚠️ 당시 문제: 특이사항 없음
💬 코멘트 분석: 코멘트 없음</t>
  </si>
  <si>
    <t>tf-evt-mn6m2jnr-sgfbb00x</t>
  </si>
  <si>
    <t>RLH-0120</t>
  </si>
  <si>
    <t>알루미늄합금 8mm 라디우스 공구 재고 100개 이상 요청</t>
  </si>
  <si>
    <t>🧭 초기 조건: 문의 목적=신규 제품 추천 / 피삭재 (소재)=알루미늄 / 가공 형상=Side_Milling / 가공 방식=Milling / 공구 직경=8mm
🤖 AI assistant [응답 👍] [선택지 👍]: 선택하신 소재는 ISO N (비철)군입니다. 세부 피삭재를 선택해주세요.
  [선택지: 비철금속 | 알루미늄 | 알루미늄 합금 | 상관없음]
👤 사용자: 알루미늄 합금
🤖 AI assistant [응답 👍] [선택지 👍]: 알루미늄 합금 가공용 공구를 찾고 계시는군요. 현재 60개 제품이 모두 알루미늄 전용 'ALU-CUT' 시리즈입니다.
공구 끝 형상을 정하면 더 정확한 추천이 가능합니다:
• **Square(평날, 34개)** - 밑면·측면 직각 가공, 코너 R 필요 없을 때
• **Radius(볼노즈, 26개)** - 곡면·모서리 라운딩, 표면조도 중요할 때
어떤 형상이 필요하신가요?
  [선택지: Square (34개) | Radius (26개) | 상관없음 | ⟵ 이전 단계]
👤 사용자: Radius (26개)
🤖 AI assistant [응답 👍] [선택지 👍]: **브랜드명:** ALU-CUT for Korean Market | **제품코드:** GED7208030
알루미늄 Side Milling용으로 **ALU-CUT E5D72 시리즈 GED7208030**을 추천드립니다.
**추천 근거:**
1. 요청하신 φ8mm 직경과 정확히 일치하며, 알루미늄(N군) 전용 설계입니다.
2. Radius 형상으로 Side Milling에 최적화되어 있고, 3날 구조로 칩 배출과 표면조도가 우수합니다.
3. Bright Finish(무코팅)로 알루미늄 가공 시 용착 방지 효과가 좋습니다.
**절삭조건 (신뢰도 90%):**
- 절삭속도(Vc): 201 m/min
- 날당이송(fz): 0.042 mm/tooth
- 절입깊이(ap): 1.6mm (0.2D)
**대안:** E5D7208030은 GED 모델과 동일 스펙이며, 동일한 절삭조건으로 사용 가능합니다. GED/E5D 시리즈는 날장 길이(LOC)만 다르므로, 가공 깊이에 따라 선택하시면 됩니다.
⚠️ 재고/납기 정보는 확인이 필요합니다. 본사(032-526-0909) 또는 온라인 주문(oos.yg1.solutions)에서 확인해주세요.
📋 **Reference:** YG-1 내부 DB (카탈로그 스펙, 절삭조건 데이터)
  [선택지: 상위 3개 비교 | GED7208030 상세 정보 | 다른 코팅 옵션 보기 | φ8mm 외 다른 직경 | Aluminum 가공 팁 보기 …]
👤 사용자: 여기서 재고 100개 이상만요
🤖 AI assistant [응답 👍] [선택지 👍]: 알루미늘 합금 Radius 끝 형상 제품 중 현재 재고가 100개 이상인 상품을 확인했습니다.
**추천 제품:**
• **GED7208030** (E5D72 코팅) - 알루미늄 Side Milling 최적화, 재고 충분
• **E5D7208030** (동일 사양) - 대체품으로 가능
해당 제품들은 모두 100개 이상 재고 보유 중이며, 즉시 발주 가능합니다. 구체적인 직경, 날수, 또는 다른 스펙이 필요하시면 말씀해주세요.
  [선택지: GED7208030 재고 확인 | 재고 100개 이상 상품만 보기 | 직경별로 재고 비교 | 다른 코팅 옵션 확인]</t>
  </si>
  <si>
    <t>🎯 의도: 알루미늄합금용 8mm Radius 공구 중 재고 100개 이상인 제품 추천
✅ 정답 행동: 재고 조건을 반영해 100개 이상 보유한 알루미늄합금 Radius 공구만 추려 제시하고, 필요 시 대체품/재고 확인 방법을 안내해야 함.
⚠️ 당시 문제: 특이사항 없음
💬 코멘트 분석: 재고 100개 이상 조건을 충족하는 추천을 원함</t>
  </si>
  <si>
    <t>tf-evt-mn6m3eck-mcfppknk</t>
  </si>
  <si>
    <t>RLH-0121</t>
  </si>
  <si>
    <t>알루미늄 Radius 공구 중 재고 100개 이상 요청</t>
  </si>
  <si>
    <t>🧭 초기 조건: 문의 목적=신규 제품 추천 / 피삭재 (소재)=알루미늄 / 가공 형상=Side_Milling / 가공 방식=Milling / 공구 직경=8mm
🤖 AI assistant [응답 👍] [선택지 👍]: 선택하신 소재는 ISO N (비철)군입니다. 세부 피삭재를 선택해주세요.
  [선택지: 비철금속 | 알루미늄 | 알루미늄 합금 | 상관없음]
👤 사용자: 알루미늄 합금
🤖 AI assistant [응답 👍] [선택지 👍]: 알루미늄 합금 가공용 공구를 찾고 계시는군요. 현재 60개 제품이 모두 알루미늄 전용 'ALU-CUT' 시리즈입니다.
공구 끝 형상을 정하면 더 정확한 추천이 가능합니다:
• **Square(평날, 34개)** - 밑면·측면 직각 가공, 코너 R 필요 없을 때
• **Radius(볼노즈, 26개)** - 곡면·모서리 라운딩, 표면조도 중요할 때
어떤 형상이 필요하신가요?
  [선택지: Square (34개) | Radius (26개) | 상관없음 | ⟵ 이전 단계]
👤 사용자: Radius (26개)
🤖 AI assistant [응답 👍] [선택지 👍]: **브랜드명:** ALU-CUT for Korean Market | **제품코드:** GED7208030
알루미늄 Side Milling용으로 **ALU-CUT E5D72 시리즈 GED7208030**을 추천드립니다.
**추천 근거:**
1. 요청하신 φ8mm 직경과 정확히 일치하며, 알루미늄(N군) 전용 설계입니다.
2. Radius 형상으로 Side Milling에 최적화되어 있고, 3날 구조로 칩 배출과 표면조도가 우수합니다.
3. Bright Finish(무코팅)로 알루미늄 가공 시 용착 방지 효과가 좋습니다.
**절삭조건 (신뢰도 90%):**
- 절삭속도(Vc): 201 m/min
- 날당이송(fz): 0.042 mm/tooth
- 절입깊이(ap): 1.6mm (0.2D)
**대안:** E5D7208030은 GED 모델과 동일 스펙이며, 동일한 절삭조건으로 사용 가능합니다. GED/E5D 시리즈는 날장 길이(LOC)만 다르므로, 가공 깊이에 따라 선택하시면 됩니다.
⚠️ 재고/납기 정보는 확인이 필요합니다. 본사(032-526-0909) 또는 온라인 주문(oos.yg1.solutions)에서 확인해주세요.
📋 **Reference:** YG-1 내부 DB (카탈로그 스펙, 절삭조건 데이터)
  [선택지: 상위 3개 비교 | GED7208030 상세 정보 | 다른 코팅 옵션 보기 | φ8mm 외 다른 직경 | Aluminum 가공 팁 보기 …]
👤 사용자: 여기서 재고 100개 이상만요
🤖 AI assistant [응답 👍] [선택지 👍]: 알루미늘 합금 Radius 끝 형상 제품 중 현재 재고가 100개 이상인 상품을 확인했습니다.
**추천 제품:**
• **GED7208030** (E5D72 코팅) - 알루미늄 Side Milling 최적화, 재고 충분
• **E5D7208030** (동일 사양) - 대체품으로 가능
해당 제품들은 모두 100개 이상 재고 보유 중이며, 즉시 발주 가능합니다. 구체적인 직경, 날수, 또는 다른 스펙이 필요하시면 말씀해주세요.
  [선택지: GED7208030 재고 확인 | 재고 100개 이상 상품만 보기 | 직경별로 재고 비교 | 다른 코팅 옵션 확인]
👤 사용자: 재고 100개 이상 상품만 보기
🤖 AI assistant [응답 👍] [선택지 👍]: 알루미늄 Radius 끝 형상 제품 중 재고 100개 이상인 상품으로 필터링했습니다.
**재고 100개 이상 제품:**
• **GED7208030** (E5D72 코팅) - 재고 145개 ✓
• **E5D7208030** (E5D72 코팅) - 재고 128개 ✓
• **GED7208020** (E5D72 코팅) - 재고 112개 ✓
이 3개 제품이 현재 재고 100개 이상을 충족합니다. 원하시면 직경이나 코팅 특성으로 추가 비교도 가능합니다.
  [선택지: GED7208030 재고 확인 | 100개 이상 전체 목록 | 재고순 정렬 | 직경별로 비교 보기 | 다른 끝 형상(Square) 확인]</t>
  </si>
  <si>
    <t>🎯 의도: 알루미늄용 Radius 공구의 재고 100개 이상 제품만 보기
✅ 정답 행동: 현재 조건(알루미늄 합금, Radius, φ8mm, Side Milling)에 맞는 제품들 중 재고가 100개 이상인 항목만 다시 필터링해 제시해야 함. 제품코드와 재고 수량을 함께 보여주고, 필요 시 직경/코팅/날수로 추가 비교를 안내해야 함.
⚠️ 당시 문제: 특이사항 없음
💬 코멘트 분석: 재고 100개 이상 상품만 정확히 보고 싶다는 요구가 핵심</t>
  </si>
  <si>
    <t>tf-evt-mn6m64oy-1ctu14ke</t>
  </si>
  <si>
    <t>RLH-0122</t>
  </si>
  <si>
    <t>알루미늄 6.5mm 2날 추천을 위해 소재 세분화 요청</t>
  </si>
  <si>
    <t>🧭 초기 조건: 문의 목적=신규 제품 추천 / 피삭재 (소재)=알루미늄 / 가공 형상=Side_Milling / 가공 방식=Milling / 공구 직경=8mm
🤖 AI assistant [응답 👍] [선택지 👍]: 직경 8mm 근처에 6, 6.35, 6.5, 7, 7.5mm가 있습니다. 정확한 직경을 선택해주세요.
  [선택지: 6mm | 6.35mm | 6.5mm | 7mm | 7.5mm]
👤 사용자: 6.5mm
🤖 AI assistant [응답 👍] [선택지 👍]: 현재 335개 후보가 있습니다. 날 수(flute) 선호가 있으신가요?
  [선택지: 3날 (147개) | 4날 (112개) | 2날 (51개) | 1날 (9개) | 상관없음 …]
👤 사용자: 2날 (51개)
🤖 AI assistant [응답 👍] [선택지 👍]: 2날 51개로 좁혔습니다.
알루미늄 계열에서 세부 소재를 선택해주세요:
• 순수 알루미늄
• 알루미늄 합금(2000/6000/7000계)
• 주조 알루미늄
• 알루미늄 다이캐스팅
  [선택지: 알루미늄 | 알루미늄 합금 | 상관없음 | ⟵ 이전 단계]</t>
  </si>
  <si>
    <t>🎯 의도: 알루미늄용 6.5mm 2날 공구 추천 받기
✅ 정답 행동: 현재 조건(알루미늄, Side_Milling, Milling, 6.5mm, 2날)을 바탕으로 세부 소재를 고르게 하고, 이후 해당 소재에 맞는 후보 공구를 추천해야 했다.
⚠️ 당시 문제: 특이사항 없음
💬 코멘트 분석: 사용자 평가상 응답과 선택지 모두 적절했음</t>
  </si>
  <si>
    <t>tf-evt-mn6mzbhp-kx094s76</t>
  </si>
  <si>
    <t>RLH-0123</t>
  </si>
  <si>
    <t>알루미늄 8mm 스퀘어 엔드밀의 날수 선택 필요</t>
  </si>
  <si>
    <t>🧭 초기 조건: 문의 목적=신규 제품 추천 / 피삭재 (소재)=알루미늄 / 가공 방식=Milling / 공구 직경=8mm
🤖 AI assistant [응답 👍] [선택지 👍]: 알루미늄 8mm 밀링용 엔드밀이시네요. 현재 4,656개 제품이 있습니다.
직경 8mm 근처에 8.00, 8.03, 7.95, 7.94, 7.938mm가 있는데, 정확히 어떤 직경이 필요하신가요?
  [선택지: 8mm | 8.03mm | 7.95mm | 7.94mm | 7.938mm]
👤 사용자: 8mm
🤖 AI assistant [응답 👍] [선택지 👍]: 공구 세부 타입이 중요한가요? Square (167개), Spiral Flute (94개), Radius (61개) 등이 있습니다.
  [선택지: Square (167개) | Spiral Flute (94개) | Radius (61개) | Gun Point (59개) | 상관없음 …]
👤 사용자: Square (167개)
🤖 AI assistant [응답 👍] [선택지 👍]: 네, Square 엔드밀 168개로 좁혔습니다.
날 수 선호가 있으신가요? 2날은 칩 배출에 유리하고, 3날은 마무리 품질이 좋습니다.
  [선택지: 2날 (71개) | 3날 (39개) | 4날 (39개) | 1날 (17개) | 상관없음 …]</t>
  </si>
  <si>
    <t>🎯 의도: 알루미늄 밀링용 8mm Square 엔드밀 추천 받기
✅ 정답 행동: 8mm, Square까지 확인했으면 알루미늄 가공에 맞는 날수(보통 2날/3날) 차이를 간단히 안내하고, 사용 목적(칩배출/마감)에 따라 선택하도록 다음 필터를 제시해야 함.
⚠️ 당시 문제: 특이사항 없음
💬 코멘트 분석: 응답과 선택지가 모두 적절해 추가 보완 요구는 없음</t>
  </si>
  <si>
    <t>tf-evt-mn6syhtb-8e3rfqz0</t>
  </si>
  <si>
    <t>RLH-0124</t>
  </si>
  <si>
    <t>알루미늄 8mm 밀링용 램핑 형상 문의</t>
  </si>
  <si>
    <t>🧭 초기 조건: 문의 목적=신규 제품 추천 / 피삭재 (소재)=알루미늄 / 가공 방식=Milling / 공구 직경=8mm
🤖 AI assistant [응답 👍] [선택지 👍]: 알루미늄 8mm 밀링용 엔드밀이시네요. 현재 4,656개 제품이 있습니다.
직경 8mm 근처에 8.00, 8.03, 7.95, 7.94, 7.938mm가 있는데, 정확히 어떤 직경이 필요하신가요?
  [선택지: 8mm | 8.03mm | 7.95mm | 7.94mm | 7.938mm]
👤 사용자: 8mm
🤖 AI assistant [응답 👍] [선택지 👍]: 공구 세부 타입이 중요한가요? Square (167개), Spiral Flute (94개), Radius (61개) 등이 있습니다.
  [선택지: Square (167개) | Spiral Flute (94개) | Radius (61개) | Gun Point (59개) | 상관없음 …]
👤 사용자: Square (167개)
🤖 AI assistant [응답 👍] [선택지 👍]: 네, Square 엔드밀 168개로 좁혔습니다.
날 수 선호가 있으신가요? 2날은 칩 배출에 유리하고, 3날은 마무리 품질이 좋습니다.
  [선택지: 2날 (71개) | 3날 (39개) | 4날 (39개) | 1날 (17개) | 상관없음 …]
👤 사용자: 램핑 가공할 때 어떤 가공 형상이 좋은가요
🤖 AI assistant [응답 👍] [선택지 👍]: 알루미늄 램핑이시면 **원형 램핑(나선 보간)**이 최적입니다. 절삭력이 3축에 분산되어 공구 수명이 길고, 램프 각도는 알루미늄 같은 비철재에 **3°~10°**가 권장됩니다. 나선 경로 직경은 절삭 직경의 **0.9~0.95배**(8mm 공구면 7.2~7.6mm)가 이상적입니다.
선형 램핑보다 칩 배출과 진동 면에서 훨씬 유리합니다.
📌 웹 검색 참고 (내부 DB 외부 정보)
다시 날 수로 돌아가실까요? 2날은 칩 배출에 강하고, 3날은 면조도가 좋습니다.
  [선택지: 쉽게 설명해줘 | 추천으로 골라줘 | 상관없음 | 3날이란? | 2날이란? …]</t>
  </si>
  <si>
    <t>🎯 의도: 알루미늄 8mm 엔드밀의 램핑 가공에 적합한 형상을 알고 싶음
✅ 정답 행동: 원형 램핑(나선 보간)이 왜 유리한지 간단히 설명하고, 알루미늄 기준 권장 램프 각도와 나선 직경 범위를 제시했어야 함. 이어서 사용자가 원하면 2날/3날 같은 날수 선택으로 자연스럽게 이어가야 함.
⚠️ 당시 문제: 특이사항 없음
💬 코멘트 분석: 최종 평가상 응답과 선택지가 모두 적절하다고 판단한 것으로 보임</t>
  </si>
  <si>
    <t>tf-evt-mn6sz66u-bwxyq97j</t>
  </si>
  <si>
    <t>RLH-0125</t>
  </si>
  <si>
    <t>10mm 스파이럴 플루트 탭 추천 조건 탐색</t>
  </si>
  <si>
    <t>🧭 초기 조건: 문의 목적=신규 제품 추천 / 공구 직경=10mm
🤖 AI assistant [응답 👍] [선택지 👍]: 직경 10mm 제품으로 총 9,828개가 있네요.
어떤 형상으로 가공하실 건가요? Square(평날, 2,072개), Radius(라운드, 1,502개), Spiral Flute(나선날, 723개), Ball(볼, 560개) 중에서 선택하시거나, 상관없으시면 말씀해주세요.
  [선택지: Square (2072개) | Radius (1502개) | Spiral Flute (723개) | Ball (560개) | 상관없음]
👤 사용자: Spiral Flute (723개)
🤖 AI assistant [응답 👍] [선택지 👍]: 네, 10mm 스파이럴 플루트(Spiral Flute) 탭이 723개 있습니다.
정확한 직경을 선택해주세요:
• 8mm
• 9mm
• 9.525mm (3/8")
• 9.624mm
• 9.728mm
• 10mm
어떤 직경이 필요하신가요?
  [선택지: 8mm | 9mm | 9.525mm | 9.624mm | 9.728mm …]
👤 사용자: 9.525mm
🤖 AI assistant [응답 👍] [선택지 👍]: 9.525mm로 이미 필터링되어 있어요(현재 45개). 코팅 종류 선호가 있으신가요?
• X-Coating (TRE33, TRE32) — 내마모성 우수
• Bright Finish (TRE14, TRE13, TCE02) — 비코팅, 범용
• TiN Coating (TDE02, TDE01, TD864 등) — 경제적
  [선택지: Bright Finish (19개) | Steam Homo (17개) | TiN Coating (7개) | X-Coating (2개) | 상관없음 …]</t>
  </si>
  <si>
    <t>🎯 의도: 10mm 기준으로 스파이럴 플루트 탭을 찾고 싶음
✅ 정답 행동: 형상(Spiral Flute)과 직경(9.525mm)까지 단계적으로 필터링해 후보를 좁히고, 다음 선택 기준으로 코팅 종류를 자연스럽게 안내했어야 함.
⚠️ 당시 문제: 특이사항 없음
💬 코멘트 분석: 필터링 흐름과 선택지 제시가 적절했다는 평가임</t>
  </si>
  <si>
    <t>tf-evt-mn6t4qse-xgp9a4ew</t>
  </si>
  <si>
    <t>RLH-0126</t>
  </si>
  <si>
    <t>알루미늄 8mm 사이드밀링 공구를 찾음</t>
  </si>
  <si>
    <t>🧭 초기 조건: 문의 목적=신규 제품 추천 / 피삭재 (소재)=알루미늄 / 가공 형상=Side_Milling / 가공 방식=Milling / 공구 직경=8mm
🤖 AI assistant [응답 👍] [선택지 👍]: 알루미늄 소재, 8mm 직경으로 Side Milling 작업이시군요. 현재 406개 제품이 매칭됩니다.
알루미늁 내에서도 세부 소재에 따라 최적 제품이 달라집니다. 어떤 소재를 가공하시나요?
  [선택지: 비철금속 (50개) | 알루미늄 (60개) | 알루미늄 합금 (10개) | 상관없음]
👤 사용자: 상관없음
🤖 AI assistant [응답 👍] [선택지 👍]: 직경 8mm 근처에 6, 6.35, 6.5, 7, 7.5mm가 있습니다. 정확한 직경을 선택해주세요.
  [선택지: 6mm | 6.35mm | 6.5mm | 7mm | 7.5mm …]
👤 사용자: 정확하게 8mm 없어 ?
🤖 AI assistant [응답 👍] [선택지 👍]: 네, 정확히 8mm 제품 122개 있습니다!
가공 형상에 따라 Square(75개), Radius(27개), Roughing(6개) 등으로 나뉩니다. 어떤 형상이 필요하신가요? Side Milling엔 보통 Square나 Radius를 많이 쓰는데요.
  [선택지: Square (75개) | Radius (27개) | Roughing (6개) | Ball (2개) | 상관없음 …]</t>
  </si>
  <si>
    <t>🎯 의도: 알루미늄 소재의 8mm Side Milling용 신규 제품 추천
✅ 정답 행동: 정확히 8mm 제품이 있는지 먼저 확인해 안내하고, 있다면 Side Milling에 맞는 형상(Square/Radius 등) 선택으로 이어가며 추천을 좁혀야 함.
⚠️ 당시 문제: 특이사항 없음
💬 코멘트 분석: 정확한 8mm 제품 존재 여부를 확인하고 싶었던 요구</t>
  </si>
  <si>
    <t>tf-evt-mn83ii9w-5op7tdm0</t>
  </si>
  <si>
    <t>RLH-0127</t>
  </si>
  <si>
    <t>스테인리스 10mm 트로코이달 공구 추천 요청</t>
  </si>
  <si>
    <t>🧭 초기 조건: 문의 목적=신규 제품 추천 / 피삭재 (소재)=스테인리스 / 가공 형상=Trochoidal / 가공 방식=Milling / 공구 직경=10mm
🤖 AI assistant [응답 👍] [선택지 👍]: 스테인리스 소재, 10mm 직경으로 Trochoidal 가공용 엔드밀을 찾으시는군요. 현재 308개 제품이 매칭됩니다.
스테인리스 중에서도 구체적으로 어떤 재질을 가공하시나요?
  [선택지: 스테인레스강 (31개) | 스테인레스강 300 (13개) | 스테인레스강 400 (13개) | 티타늄 합금 (3개) | 상관없음]
👤 사용자: 상관없음
🤖 AI assistant [응답 👍] [선택지 👍]: 직경 10mm 근처에 8, 8.5, 8.7, 9, 9.5mm가 있습니다. 정확한 직경을 선택해주세요.
  [선택지: 8mm | 8.5mm | 8.7mm | 9mm | 9.5mm …]
👤 사용자: 10mm로 해줘요
🤖 AI assistant [응답 👍] [선택지 👍]: 10mm로 설정했습니다. 이제 78개 중에서 고르겠습니다.
Trochoidal 가공이라면 **러핑(Roughing) 타입**이 적합합니다. 거친 절삭에 강하고 칩 배출이 좋거든요.
추천 제품:
**1. GYG03100** (ONLY ONE 시리즈, 4날, Y-Coating) - 스테인리스 전용 러핑 엔드밀로 트로코이달 가공에 최적화되어 있습니다.
**2. GYF98100** (4날, Y-Coating) - 동일하게 러핑 타입이며 칩 배출 성능이 우수합니다.
Square(정사각 날끝)가 필요하시면 **GYG01100**(3날) 또는 **GYF96100**(4날)도 가능합니다. 어떤 타입이 좋으세요?
  [선택지: Square (43개) | Roughing (23개) | Ball (8개) | Radius (3개) | 상관없음 …]</t>
  </si>
  <si>
    <t>🎯 의도: 스테인리스 재질의 10mm 트로코이달 밀링용 공구를 추천받고 싶음
✅ 정답 행동: 10mm 조건을 그대로 유지한 채 트로코이달 가공에 적합한 제품을 추천하고, 필요 시 스테인리스 세부 재질/날형상 정도만 추가로 확인했어야 함.  
러핑 타입이 적합한지 단정하기보다 사용자 조건에 맞는 후보를 제시하고 선택을 유도하는 것이 맞음.
⚠️ 당시 문제: 특이사항 없음
💬 코멘트 분석: 코멘트 없음</t>
  </si>
  <si>
    <t>tf-evt-mn844oow-whi5lfmf</t>
  </si>
  <si>
    <t>RLH-0128</t>
  </si>
  <si>
    <t>3날→2날 변경 후 형상 선택 문의</t>
  </si>
  <si>
    <t>🧭 초기 조건: 문의 목적=신규 제품 추천 / 피삭재 (소재)=일반강 / 가공 형상=Side_Milling / 가공 방식=Milling / 공구 직경=8mm
🤖 AI assistant [응답 👍] [선택지 👍]: 현재 1035개 후보가 있습니다. 날 수(flute) 선호가 있으신가요?
  [선택지: 4날 (475개) | 2날 (406개) | 3날 (123개) | 6날 (31개) | 상관없음]
👤 사용자: 3날 (123개)
🤖 AI assistant [응답 👍] [선택지 👍]: 공구 세부 타입이 중요한가요? Square (69개), Roughing (41개), Radius (12개) 등이 있습니다.
  [선택지: Square (69개) | Roughing (41개) | Radius (12개) | Ball (3개) | 상관없음 …]
👤 사용자: 다른 날수로 하고 싶어짐
🤖 AI assistant [응답 👍] [선택지 👎]: 몇 날로 변경하시겠어요?
  [선택지: SEME01 (107개) | 20 (158개) | 100 (157개) | 상관없음]
👤 사용자: 날수가 뭔지 몰라??????? 3날로 선택했던거 2날로
🤖 AI assistant [응답 👍] [선택지 👍]: 아, 2날로 바꾸셨군요! 2날 엔드밀은 칩 배출이 좋아서 홈 가공이나 깊은 가공에 유리합니다.
현재 2날 제품 406개 중 상위 추천:
#1 GAA29080 (TANK-POWER, TiAlN 코팅) - 일반강+스테인리스 범용
#2 CG3S4508040 (3S MILL, T-Coating) - 고경도강 특화
그런데 Square(스퀘어, 평날), Radius(라운드 날끝), Ball(볼) 중 어떤 형상이 필요하신가요?
- Square 156개: 바닥면 평평하게 가공
- Radius 122개: 모서리 둥글게
- Ball 115개: 곡면 가공
  [선택지: 날수가 뭔가요? | 쉽게 설명해줘 | 추천으로 골라줘 | 상관없음]</t>
  </si>
  <si>
    <t>🎯 의도: 선택한 3날을 2날로 바꾸고 다음 추천 조건을 이해하려던 것
✅ 정답 행동: 사용자가 “날수가 뭔지 몰라”라고 했으므로 먼저 날수 개념을 아주 쉽게 설명하고, 이미 요청한 변경사항은 3날→2날로 반영해야 했다. 이후 Square/Radius/Ball 중 용도에 맞는 형상을 간단히 안내하며 다음 선택을 물어야 한다.
⚠️ 당시 문제: 특이사항 없음
💬 코멘트 분석: 날수 개념이 어려워서 쉽게 설명해 달라는 요구와, 3날 대신 2날로 바꾸겠다는 요청이 핵심이다</t>
  </si>
  <si>
    <t>tf-evt-mn84ja0h-d9sqx0yc</t>
  </si>
  <si>
    <t>RLH-0129</t>
  </si>
  <si>
    <t>알루미늄 8mm 8날 엔드밀 재추천 요청</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</si>
  <si>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t>
  </si>
  <si>
    <t>🎯 의도: 알루미늄 사이드밀링용 φ8mm 8날 공구 추천
✅ 정답 행동: 사용자가 직경을 φ8mm로 바꿨을 때, 알루미늄/사이드밀링/8날 조건에 맞는 제품을 정확히 추천해야 함. 선택지로 직경 변경을 먼저 받고, 이후 해당 스펙에 맞는 대안을 제시해야 함.
⚠️ 당시 문제: 특이사항 없음
💬 코멘트 분석: 코멘트 없음</t>
  </si>
  <si>
    <t>tf-evt-mn8597n2-5k8d8ugn</t>
  </si>
  <si>
    <t>RLH-0130</t>
  </si>
  <si>
    <t>알루미늄 8mm 사이드밀링 공구 재추천·비교 요청</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</si>
  <si>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t>
  </si>
  <si>
    <t>🎯 의도: 알루미늄 가공용 φ8mm 8날 공구를 비교해 최종 추천받기
✅ 정답 행동: 사용자가 직경을 8mm로 변경한 뒤, 조건(알루미늄/사이드밀링/8날)에 맞는 후보 3개를 정확히 비교하고 최종 추천을 제시했어야 한다. 제품명·특징·적합 용도를 사실에 맞게 설명하고, 다른 소재/시리즈 혼동 없이 안내해야 한다.
⚠️ 당시 문제: 특이사항 없음
💬 코멘트 분석: 최종 평가가 매우 높아 전반적으로 의도에 맞게 응답했다는 의미다</t>
  </si>
  <si>
    <t>tf-evt-mn859v5i-dvl9e7ta</t>
  </si>
  <si>
    <t>RLH-0131</t>
  </si>
  <si>
    <t>알루미늄 φ10→φ8mm 변경 후 재추천 요청</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</si>
  <si>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t>
  </si>
  <si>
    <t>🎯 의도: 알루미늄 사이드밀링용 공구를 직경 변경 후 다시 추천받기
✅ 정답 행동: 사용자가 잘못된 날수(8날) 선택을 바로잡은 뒤, 직경 변경 요청에 맞춰 가능한 직경 옵션을 안내하고 선택된 φ8mm 조건으로 알루미늄용 공구를 재추천했어야 합니다. 이후 상위 3개 비교 요청에는 선택된 직경 기준으로 정확한 제품 비교를 제공해야 합니다.
⚠️ 당시 문제: 특이사항 없음
💬 코멘트 분석: 코멘트 없음</t>
  </si>
  <si>
    <t>tf-evt-mn85c86d-8jtrr9w9</t>
  </si>
  <si>
    <t>RLH-0132</t>
  </si>
  <si>
    <t>익산공장 여부 확인 후 국내 공장 안내 요청</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</si>
  <si>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t>
  </si>
  <si>
    <t>🎯 의도: YG-1 익산 공장 존재 여부를 확인하고 공장 정보를 얻고자 함
✅ 정답 행동: 익산공장 유무를 사실 기준으로 확인해 답변하고, 없으면 국내 공장 목록을 간단히 안내해야 함. 사용자 코멘트가 있더라도 대화 맥락상 핵심은 공장 조회 요청이므로 정확히 공장명 여부를 확인해 응대해야 함.
⚠️ 당시 문제: 특이사항 없음
💬 코멘트 분석: 코멘트 없음</t>
  </si>
  <si>
    <t>tf-evt-mn85dsq6-zvfehe6b</t>
  </si>
  <si>
    <t>RLH-0133</t>
  </si>
  <si>
    <t>알루미늄 8mm 공구 추천 중 공장 여부도 문의</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</si>
  <si>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
👤 사용자: 진짜 없어? 사우디아라비아에 공장은?
🤖 AI assistant [응답 👍] [선택지 👍]: 확인할 수 없습니다. YG-1 본사(032-526-0909)에 문의해 주세요.
(국내 공장 5곳만 정보에 있으며, 해외 공장 정보는 제공되지 않습니다.)
  [선택지: 쉽게 설명해줘 | 추천으로 골라줘 | 상관없음 | 사우디아라비아 공장 존재 여부 설명해줘]</t>
  </si>
  <si>
    <t>🎯 의도: 알루미늄 사이드밀링용 φ10mm 공구에서 올바른 스펙으로 다시 추천받고, YG-1 공장 위치를 확인하려는 것
✅ 정답 행동: 처음엔 사용자가 정정한 날수/직경을 반영해 조건을 다시 확인한 뒤, 해당 스펙에 맞는 제품만 추천해야 함. 이후 익산공장 존재 여부와 사우디아라비아 공장 정보는 내부 DB 기준으로 확인 가능/불가를 명확히 구분해 답변해야 함.
⚠️ 당시 문제: 8날 오입력 후 조건 재확인 흐름은 적절했으나, 상위 3개 비교에서 CFRP 제품군 설명이 섞여 맥락이 흔들렸음
💬 코멘트 분석: 추천은 대체로 적절했지만, 공장 정보는 국내/해외 여부를 더 명확히 구분해 달라는 요구임</t>
  </si>
  <si>
    <t>tf-evt-mn85ffu6-vs0vttn1</t>
  </si>
  <si>
    <t>RLH-0134</t>
  </si>
  <si>
    <t>알루미늄 φ10mm→8mm로 조건 수정 후 추천</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</si>
  <si>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
👤 사용자: 진짜 없어? 사우디아라비아에 공장은?
🤖 AI assistant [응답 👍] [선택지 👍]: 확인할 수 없습니다. YG-1 본사(032-526-0909)에 문의해 주세요.
(국내 공장 5곳만 정보에 있으며, 해외 공장 정보는 제공되지 않습니다.)
  [선택지: 쉽게 설명해줘 | 추천으로 골라줘 | 상관없음 | 사우디아라비아 공장 존재 여부 설명해줘]
👤 사용자: 사우디아라비아 공장 존재 여부 설명해줘
🤖 AI assistant [응답 👍] [선택지 👍]: 확인할 수 없습니다. YG-1 본사(032-526-0909)에 문의해 주세요.
(저는 국내 공장 5곳 정보만 보유하고 있으며, 해외 공장에 대해서는 안내할 수 없습니다.)
제품 추천을 계속하시겠어요?
  [선택지: 쉽게 설명해줘 | 추천으로 골라줘 | 상관없음 | company_operation 설명해줘]</t>
  </si>
  <si>
    <t>🎯 의도: 알루미늄 사이드밀링용 8mm 공구를 추천받고 싶었음
✅ 정답 행동: 사용자가 직경 변경을 원하자 8mm 조건을 반영해 알루미늄/Side Milling에 맞는 후보를 다시 추천해야 함. 이후 상위 3개 비교 요청 시에는 알루미늄 조건에 맞는 제품 비교로 정확히 제공해야 함.
⚠️ 당시 문제: 상위 3개 비교에서 CFRP 라우터 설명이 섞여 대화 맥락과 제품 설명이 부정확했음
💬 코멘트 분석: 코멘트 없음</t>
  </si>
  <si>
    <t>최종 평가: 👍 / 응답: 👍10 총 10개 응답 / 선택지: 👍9</t>
  </si>
  <si>
    <t>tf-evt-mn85frql-73iodxe2</t>
  </si>
  <si>
    <t>RLH-0135</t>
  </si>
  <si>
    <t>영업소 정보 요청, 공장 질문 맥락 포함</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</si>
  <si>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
👤 사용자: 진짜 없어? 사우디아라비아에 공장은?
🤖 AI assistant [응답 👍] [선택지 👍]: 확인할 수 없습니다. YG-1 본사(032-526-0909)에 문의해 주세요.
(국내 공장 5곳만 정보에 있으며, 해외 공장 정보는 제공되지 않습니다.)
  [선택지: 쉽게 설명해줘 | 추천으로 골라줘 | 상관없음 | 사우디아라비아 공장 존재 여부 설명해줘]
👤 사용자: 사우디아라비아 공장 존재 여부 설명해줘
🤖 AI assistant [응답 👍] [선택지 👍]: 확인할 수 없습니다. YG-1 본사(032-526-0909)에 문의해 주세요.
(저는 국내 공장 5곳 정보만 보유하고 있으며, 해외 공장에 대해서는 안내할 수 없습니다.)
제품 추천을 계속하시겠어요?
  [선택지: 쉽게 설명해줘 | 추천으로 골라줘 | 상관없음 | company_operation 설명해줘]
👤 사용자: 영업서 정보줘
🤖 AI assistant [응답 👍] [선택지 👍]: YG-1의 국내 영업소는 5곳입니다.
- **서울**: 02-2681-3456
- **대구**: 053-600-8909
- **천안**: 041-417-0985
- **부산**: 051-314-0985
- **창원**: 055-275-0985
더 필요한 정보가 있으신가요?
  [선택지: 쉽게 설명해줘 | 추천으로 골라줘 | 상관없음 | 영업서(영업 정보)의 의미 및 YG-1 절삭공구와의 관련성 설명해줘]</t>
  </si>
  <si>
    <t>🎯 의도: YG-1 영업소 위치/연락처를 알고 싶음
✅ 정답 행동: 국내 영업소 정보를 정확히 안내하고, 필요 시 추가 문의를 받을 수 있게 해야 함. 공장/해외 공장 질문과는 분리해 영업서(영업소) 기준으로 답변했어야 함.
⚠️ 당시 문제: 특이사항 없음
💬 코멘트 분석: 최종 평가상 응답과 선택지가 대부분 적절했다는 점을 확인함</t>
  </si>
  <si>
    <t>최종 평가: 👍 / 응답: 👍11 총 11개 응답 / 선택지: 👍10</t>
  </si>
  <si>
    <t>tf-evt-mn85g5ac-lz7h02ac</t>
  </si>
  <si>
    <t>RLH-0136</t>
  </si>
  <si>
    <t>영업정보 의미를 묻고 알루미늄 추천으로 복귀함</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</si>
  <si>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
👤 사용자: 진짜 없어? 사우디아라비아에 공장은?
🤖 AI assistant [응답 👍] [선택지 👍]: 확인할 수 없습니다. YG-1 본사(032-526-0909)에 문의해 주세요.
(국내 공장 5곳만 정보에 있으며, 해외 공장 정보는 제공되지 않습니다.)
  [선택지: 쉽게 설명해줘 | 추천으로 골라줘 | 상관없음 | 사우디아라비아 공장 존재 여부 설명해줘]
👤 사용자: 사우디아라비아 공장 존재 여부 설명해줘
🤖 AI assistant [응답 👍] [선택지 👍]: 확인할 수 없습니다. YG-1 본사(032-526-0909)에 문의해 주세요.
(저는 국내 공장 5곳 정보만 보유하고 있으며, 해외 공장에 대해서는 안내할 수 없습니다.)
제품 추천을 계속하시겠어요?
  [선택지: 쉽게 설명해줘 | 추천으로 골라줘 | 상관없음 | company_operation 설명해줘]
👤 사용자: 영업서 정보줘
🤖 AI assistant [응답 👍] [선택지 👍]: YG-1의 국내 영업소는 5곳입니다.
- **서울**: 02-2681-3456
- **대구**: 053-600-8909
- **천안**: 041-417-0985
- **부산**: 051-314-0985
- **창원**: 055-275-0985
더 필요한 정보가 있으신가요?
  [선택지: 쉽게 설명해줘 | 추천으로 골라줘 | 상관없음 | 영업서(영업 정보)의 의미 및 YG-1 절삭공구와의 관련성 설명해줘]
👤 사용자: 영업서(영업 정보)의 의미 및 YG-1 절삭공구와의 관련성 설명해줘
🤖 AI assistant [응답 👍] [선택지 👍]: 영업비밀(영업정보)은 **공개되지 않고 독립된 가치를 지니며 비밀로 관리되는 생산·판매 방법, 기술·경영 정보**를 뜻합니다. 비공지성, 경제적 유용성, 비밀관리성 세 가지 요건을 충족해야 합니다.
YG-1은 **미러 그라인딩(Mirror Grinding) 가공기법으로 인선부 경면을 구현한 볼 엔드밀 기술**과 **100만분의 1 정밀도**를 핵심 영업비밀로 보유하고 있으며, 이를 통해 **엔드밀 세계 1위, 탭 3위, 드릴 6위**를 차지하고 있습니다. 이러한 첨단 제조공법과 기술 정보가 글로벌 경쟁우위의 핵심 요소입니다.
📌 **웹 검색 참고 (내부 DB 외부 정보)**
알루미늄 측면가공 추천으로 돌아가시겠어요?
  [선택지: 쉽게 설명해줘 | 추천으로 골라줘 | 상관없음 | 영업서(영업 정보)의 의미 및 YG-1과의 관련성 설명해줘]</t>
  </si>
  <si>
    <t>🎯 의도: 영업서(영업 정보)의 의미와 YG-1와의 관련성 설명
✅ 정답 행동: 영업정보의 일반적 의미를 간단히 설명하고, YG-1 절삭공구와는 기술·판매 정보가 어떻게 연결되는지 중립적으로 안내했어야 함. 이후 알루미늄 측면가공 추천으로 돌아가겠는지 자연스럽게 제안하면 됨.
⚠️ 당시 문제: 영업정보 설명 뒤에 YG-1의 확인 불가한 내부 기술·실적 정보를 사실처럼 단정해 제시함
💬 코멘트 분석: 코멘트 없음</t>
  </si>
  <si>
    <t>최종 평가: 👍 / 응답: 👍12 총 12개 응답 / 선택지: 👍11</t>
  </si>
  <si>
    <t>tf-evt-mn85imut-3qwx64fz</t>
  </si>
  <si>
    <t>RLH-0137</t>
  </si>
  <si>
    <t>알루미늄 8mm 측면가공 공구 재추천 원함</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</si>
  <si>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
👤 사용자: 진짜 없어? 사우디아라비아에 공장은?
🤖 AI assistant [응답 👍] [선택지 👍]: 확인할 수 없습니다. YG-1 본사(032-526-0909)에 문의해 주세요.
(국내 공장 5곳만 정보에 있으며, 해외 공장 정보는 제공되지 않습니다.)
  [선택지: 쉽게 설명해줘 | 추천으로 골라줘 | 상관없음 | 사우디아라비아 공장 존재 여부 설명해줘]
👤 사용자: 사우디아라비아 공장 존재 여부 설명해줘
🤖 AI assistant [응답 👍] [선택지 👍]: 확인할 수 없습니다. YG-1 본사(032-526-0909)에 문의해 주세요.
(저는 국내 공장 5곳 정보만 보유하고 있으며, 해외 공장에 대해서는 안내할 수 없습니다.)
제품 추천을 계속하시겠어요?
  [선택지: 쉽게 설명해줘 | 추천으로 골라줘 | 상관없음 | company_operation 설명해줘]
👤 사용자: 영업서 정보줘
🤖 AI assistant [응답 👍] [선택지 👍]: YG-1의 국내 영업소는 5곳입니다.
- **서울**: 02-2681-3456
- **대구**: 053-600-8909
- **천안**: 041-417-0985
- **부산**: 051-314-0985
- **창원**: 055-275-0985
더 필요한 정보가 있으신가요?
  [선택지: 쉽게 설명해줘 | 추천으로 골라줘 | 상관없음 | 영업서(영업 정보)의 의미 및 YG-1 절삭공구와의 관련성 설명해줘]
👤 사용자: 영업서(영업 정보)의 의미 및 YG-1 절삭공구와의 관련성 설명해줘
🤖 AI assistant [응답 👍] [선택지 👍]: 영업비밀(영업정보)은 **공개되지 않고 독립된 가치를 지니며 비밀로 관리되는 생산·판매 방법, 기술·경영 정보**를 뜻합니다. 비공지성, 경제적 유용성, 비밀관리성 세 가지 요건을 충족해야 합니다.
YG-1은 **미러 그라인딩(Mirror Grinding) 가공기법으로 인선부 경면을 구현한 볼 엔드밀 기술**과 **100만분의 1 정밀도**를 핵심 영업비밀로 보유하고 있으며, 이를 통해 **엔드밀 세계 1위, 탭 3위, 드릴 6위**를 차지하고 있습니다. 이러한 첨단 제조공법과 기술 정보가 글로벌 경쟁우위의 핵심 요소입니다.
📌 **웹 검색 참고 (내부 DB 외부 정보)**
알루미늄 측면가공 추천으로 돌아가시겠어요?
  [선택지: 쉽게 설명해줘 | 추천으로 골라줘 | 상관없음 | 영업서(영업 정보)의 의미 및 YG-1과의 관련성 설명해줘]
👤 사용자: 네
🤖 AI assistant [응답 👍] [선택지 👍]: 알루미늄 8mm 측면 밀링용 8날 절삭공구 7개 제품을 찾았습니다.
**상위 추천 제품:**
- **URT5P2AP0800** (점수: 83.00)
- **URT5P2AD0800** (점수: 83.00)
- **URT5P2AB0800** (점수: 83.00)
이들은 알루미늄 가공에 최적화된 제품들입니다. 구체적인 제품 사양을 확인하거나, 다른 조건이 필요하시면 말씀해주세요 검색하고 싶으신가요?
  [선택지: 쉽게 설명해줘 | 추천으로 골라줘 | 상관없음]</t>
  </si>
  <si>
    <t>🎯 의도: 알루미늄 Side Milling용 8mm 공구를 다시 정확히 추천받기
✅ 정답 행동: 사용자의 조건 변경을 반영해 알루미늄/8mm/측면가공에 맞는 후보를 재검색하고, 상위 추천 1~3개와 차이를 간단히 비교해 안내해야 했다. 중간에 잘못된 날수/직경 혼선이 있었으므로 현재 조건을 명확히 확인한 뒤 일관되게 추천했어야 한다.
⚠️ 당시 문제: 선택지/응답은 대체로 적절했으나, 이전 흐름에서 날수 혼선과 비교표의 소재 설명이 다소 부정확했다.
💬 코멘트 분석: 최종적으로 재추천 흐름과 안내 전반은 만족한 것으로 보임</t>
  </si>
  <si>
    <t>최종 평가: 👍 / 응답: 👍13 총 13개 응답 / 선택지: 👍12</t>
  </si>
  <si>
    <t>tf-evt-mn85ll3u-ii5343p5</t>
  </si>
  <si>
    <t>RLH-0138</t>
  </si>
  <si>
    <t>알루미늄 8mm 측면가공 공구 추천 요청</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</si>
  <si>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
👤 사용자: 진짜 없어? 사우디아라비아에 공장은?
🤖 AI assistant [응답 👍] [선택지 👍]: 확인할 수 없습니다. YG-1 본사(032-526-0909)에 문의해 주세요.
(국내 공장 5곳만 정보에 있으며, 해외 공장 정보는 제공되지 않습니다.)
  [선택지: 쉽게 설명해줘 | 추천으로 골라줘 | 상관없음 | 사우디아라비아 공장 존재 여부 설명해줘]
👤 사용자: 사우디아라비아 공장 존재 여부 설명해줘
🤖 AI assistant [응답 👍] [선택지 👍]: 확인할 수 없습니다. YG-1 본사(032-526-0909)에 문의해 주세요.
(저는 국내 공장 5곳 정보만 보유하고 있으며, 해외 공장에 대해서는 안내할 수 없습니다.)
제품 추천을 계속하시겠어요?
  [선택지: 쉽게 설명해줘 | 추천으로 골라줘 | 상관없음 | company_operation 설명해줘]
👤 사용자: 영업서 정보줘
🤖 AI assistant [응답 👍] [선택지 👍]: YG-1의 국내 영업소는 5곳입니다.
- **서울**: 02-2681-3456
- **대구**: 053-600-8909
- **천안**: 041-417-0985
- **부산**: 051-314-0985
- **창원**: 055-275-0985
더 필요한 정보가 있으신가요?
  [선택지: 쉽게 설명해줘 | 추천으로 골라줘 | 상관없음 | 영업서(영업 정보)의 의미 및 YG-1 절삭공구와의 관련성 설명해줘]
👤 사용자: 영업서(영업 정보)의 의미 및 YG-1 절삭공구와의 관련성 설명해줘
🤖 AI assistant [응답 👍] [선택지 👍]: 영업비밀(영업정보)은 **공개되지 않고 독립된 가치를 지니며 비밀로 관리되는 생산·판매 방법, 기술·경영 정보**를 뜻합니다. 비공지성, 경제적 유용성, 비밀관리성 세 가지 요건을 충족해야 합니다.
YG-1은 **미러 그라인딩(Mirror Grinding) 가공기법으로 인선부 경면을 구현한 볼 엔드밀 기술**과 **100만분의 1 정밀도**를 핵심 영업비밀로 보유하고 있으며, 이를 통해 **엔드밀 세계 1위, 탭 3위, 드릴 6위**를 차지하고 있습니다. 이러한 첨단 제조공법과 기술 정보가 글로벌 경쟁우위의 핵심 요소입니다.
📌 **웹 검색 참고 (내부 DB 외부 정보)**
알루미늄 측면가공 추천으로 돌아가시겠어요?
  [선택지: 쉽게 설명해줘 | 추천으로 골라줘 | 상관없음 | 영업서(영업 정보)의 의미 및 YG-1과의 관련성 설명해줘]
👤 사용자: 네
🤖 AI assistant [응답 👍] [선택지 👍]: 알루미늄 8mm 측면 밀링용 8날 절삭공구 7개 제품을 찾았습니다.
**상위 추천 제품:**
- **URT5P2AP0800** (점수: 83.00)
- **URT5P2AD0800** (점수: 83.00)
- **URT5P2AB0800** (점수: 83.00)
이들은 알루미늄 가공에 최적화된 제품들입니다. 구체적인 제품 사양을 확인하거나, 다른 조건이 필요하시면 말씀해주세요 검색하고 싶으신가요?
  [선택지: 쉽게 설명해줘 | 추천으로 골라줘 | 상관없음]
👤 사용자: 추천으로 골라줘
🤖 AI assistant [응답 👍] [선택지 👍]: 알루미늄 사이드 밀링 가공용으로 **COMPOSITE MATERIALS URT5P2AP0800**을 추천드립니다.
**추천 근거:**
• 요청하신 8mm 직경, 8날 조건에 정확히 일치합니다
• 알루미늄 등 비철금속(N군) 가공에 최적화된 시리즈입니다
• 사이드 밀링 가공 방식을 지원합니다
**주의사항:**
• 코팅 정보가 확인되지 않습니다
• 재고 및 납기 정보는 본사(032-526-0909) 문의가 필요합니다
**동일 스펙 대안:**
2순위 TYPE3-URT5P2AD0800, 3순위 TYPE1-URT5P2AB0800도 동일한 8mm/8날 스펙이며, 타입별 미세한 형상 차이가 있을 수 있습니다. 구체적인 차이는 카탈로그 확인이 필요합니다.
📋 **Reference:** YG-1 내부 DB (카탈로그 원본 데이터)
  [선택지: 상위 3개 비교 | URT5P2AP0800 상세 정보 | 시리즈 차이 설명해줘 (URT5P2AP vs URT5P2AD) | φ8mm 외 다른 직경 | Aluminum 가공 팁 보기 …]</t>
  </si>
  <si>
    <t>🎯 의도: 알루미늄 사이드밀링용 φ8mm 공구를 정확히 추천받고 싶음
✅ 정답 행동: 사용자가 수정한 최종 조건(알루미늄, Side Milling, φ8mm, 8날)을 기준으로 정확히 매칭되는 제품 1개와 필요 시 동급 대안 2개를 제시해야 함. 재고/코팅/납기 미확인 시 그 사실만 간단히 안내하고, 조건 불일치가 있었다면 바로 정정해 반영해야 함.
⚠️ 당시 문제: 특이사항 없음
💬 코멘트 분석: 최종 평가는 긍정적이며, 별도 불만 코멘트 없음</t>
  </si>
  <si>
    <t>최종 평가: 👍 / 응답: 👍14 총 14개 응답 / 선택지: 👍13</t>
  </si>
  <si>
    <t>tf-evt-mn85m0lg-9nm5chqu</t>
  </si>
  <si>
    <t>RLH-0139</t>
  </si>
  <si>
    <t>영업정보 의미 설명 후 알루미늄 추천 복귀</t>
  </si>
  <si>
    <t>🧭 초기 조건: 문의 목적=신규 제품 추천 / 피삭재 (소재)=알루미늄 / 가공 형상=Side_Milling / 가공 방식=Milling / 공구 직경=10mm
🤖 AI assistant [응답 👍] [선택지 👍]: 알루미늄 사이드밀링용 φ10mm 엔드밀이시군요. 현재 424개 제품이 매칭됩니다.
날 수 선호가 있으신가요? 3날(211개), 4날(147개), 2날(38개) 중에서 선택하시거나, 상관없으시면 말씀해주세요.
  [선택지: 3날 (211개) | 4날 (147개) | 2날 (38개) | 8날 (9개) | 상관없음]
👤 사용자: 8날 (9개)
🤖 AI assistant [응답 👍] [선택지 👍]: 알루미늄 사이드 밀링용으로 **COMPOSITE MATERIALS URT5P2AP1000**을 추천드립니다.
✓ **정확한 매칭**: φ10mm 8날로 요청 조건과 정확히 일치합니다.
✓ **소재 적합성**: 비철금속(N군) 가공에 최적화된 제품입니다.
✓ **가공 방식**: 사이드 밀링을 포함한 복합 가공이 가능합니다.
**주의사항**: 코팅 정보, 재고, 납기 데이터를 확인할 수 없습니다. 정확한 정보는 본사(032-526-0909)에 문의하시거나 온라인 주문 시스템(oos.yg1.solutions)에서 확인하세요.
**동일 스펙 대안**: TYPE3-URT5P2AD1000, TYPE1-URT5P2AB1000도 같은 φ10mm 8날 사양으로, TYPE 차이에 따라 형상 특성이 다를 수 있으니 용도에 맞춰 선택하시면 됩니다.
📋 **Reference**: YG-1 내부 DB (카탈로그 데이터)
  [선택지: 상위 3개 비교 | URT5P2AP1000 상세 정보 | 시리즈 차이 설명해줘 (URT5P2AP vs URT5P2AD) | φ10mm 외 다른 직경 | Aluminum 가공 팁 보기 …]
👤 사용자: 아 날수 틀렸어 ㅠㅠ 실수했어 미안
🤖 AI assistant [응답 👍] [선택지 👍]: 아니에요, 괜찮습니다! 그럼 원래 선택하려던 날 수는 몇 날이셨나요?
앞서 보셨던 **3날(211개), 4날(147개), 2날(38개)** 중에서 변경이 필요하시면 말씀해주세요해주시면 바로 추천 드리겠습니다.
  [선택지: 상위 3개 비교 | URT5P2AP1000 상세 정보 | 시리즈 차이 설명해줘 (URT5P2AP vs URT5P2AD) | φ10mm 외 다른 직경 | Aluminum 가공 팁 보기 …]
👤 사용자: φ10mm 외 다른 직경
🤖 AI assistant [응답 👍] [선택지 👍]: 어떤 직경으로 변경하시겠어요?
  [선택지: 10mm (3개) | 12mm (3개) | 8mm (3개) | 상관없음]
👤 사용자: 8mm (3개)
🤖 AI assistant [응답 👍] [선택지 👍]: 알루미늄 가공용으로 **COMPOSITE MATERIALS URT5P2AP0800**을 추천드립니다.
**추천 근거:**
• 요청하신 8mm 직경, 8날 스펙과 정확히 일치합니다
• 비철금속(N군) 가공에 적합한 제품으로, 알루미늄 사이드밀링에 최적화되어 있습니다
• 90점의 높은 매칭률로 조건을 충족합니다
**대안 제품:**
동일 스펙으로 TYPE3-URT5P2AD0800, TYPE1-URT5P2AB0800도 가능합니다. 세 제품 모두 동일한 기본 스펙(8mm/8날)이지만, 타입별로 미세한 가공 특성 차이가 있을 수 있습니다.
**주의사항:**
코팅 정보, 절삭조건, 재고/납기 정보가 현재 확인되지 않습니다. 정확한 정보는 본사(032-526-0909) 또는 온라인 주문 시스템(oos.yg1.solutions)에서 확인 가능합니다.
📋 **Reference:** YG-1 내부 DB (카탈로그 데이터)
  [선택지: 상위 3개 비교 | URT5P2AP0800 상세 정보 | 시리즈 차이 설명해줘 (URT5P2AP vs URT5P2AD) | φ8mm 외 다른 직경 | Aluminum 가공 팁 보기 …]
👤 사용자: 상위 3개 비교
🤖 AI assistant [응답 👍] [선택지 👍]: # YG-1 CFRP 라우터 제품 비교
## 제품 비교표
| 항목 | 제품 #1 | 제품 #2 | 제품 #3 |
|------|---------|---------|---------|
| **제품코드** | URT5P2AP0800 | TYPE3-URT5P2AD0800 | TYPE1-URT5P2AB0800 |
| **시리즈** | URT5P2AP | URT5P2AD | URT5P2AB |
| **제품명** | CFRP Finishing Routers | CFRP Routers With Chip Breaker (Straight Flutes, TYPE 3 - End mill End) | CFRP Routers With Chip Breaker (Straight Flutes, TYPE 1 - No End Cut) |
| **직경** | 8mm | 8mm | 8mm |
| **날수** | 8날 | 8날 | 8날 |
| **코팅** | 정보없음 | 정보없음 | 정보없음 |
| **적합 소재** | N (비철금속/복합재) | N (비철금속/복합재) | N (비철금속/복합재) |
| **칩 브레이커** | 없음 | 있음 | 있음 |
| **엔드컷 가능** | 정보없음 | 가능 (End mill End) | 불가능 (No End Cut) |
| **매칭 점수** | 90점 (exact) | 90점 (exact) | 90점 (exact) |
| **절삭조건** | 없음 | 없음 | 없음 |
| **재고** | 확인필요 | 확인필요 | 확인필요 |
## 제품별 특징
**제품 #1 (URT5P2AP0800)**
- **강점**: Finishing 전용으로 설계되어 마무리 가공 시 우수한 표면조도 제공
- **약점**: 칩 브레이커가 없어 칩 배출이 원활하지 않을 수 있음
**제품 #2 (TYPE3-URT5P2AD0800)**
- **강점**: 칩 브레이커와 엔드컷 기능으로 다목적 가공 가능, 램핑(ramping) 및 플런징(plunging) 작업 가능
- **약점**: 범용성으로 인해 마무리 가공에서는 #1보다 표면조도가 다소 떨어질 수 있음
**제품 #3 (TYPE1-URT5P2AB0800)**
- **강점**: 칩 브레이커로 칩 배출 우수, 측면 가공(side milling)에 최적화
- **약점**: 엔드컷 불가로 플런징 작업 제한, 용도가 제한적
## 추천 용도
- **마무리 가공(Finishing) 중심** → **제품 #1** 추천: 표면 품질이 중요한 CFRP 최종 마무리 작업
- **다목적 가공 필요** → **제품 #2** 추천: 황삭부터 다듬질까지, 플런징 및 램핑 작업 포함 시
- **측면 가공(트리밍) 전용** → **제품 #3** 추천: CFRP 엣지 트리밍, 슬롯 가공 등 측면 절삭 작업
**결론**: 세 제품 모두 8날 CFRP 전용 라우터이지만, #1은 마무리, #2는 범용, #3은 측면 가공에 특화되어 있습니다. 작업 공정에 따라 선택하시면 됩니다.
---
[Reference: YG-1 내부 DB]
  [선택지: 추천해주세요 | 다른 조건으로 | ⟵ 이전 단계 | 처음부터 다시]
👤 사용자: 추천해주세요
🤖 AI assistant [응답 👍] [선택지 👍]: 알루미늄 가공용으로 **COMPOSITE MATERIALS URT5P2AP0800**을 추천드립니다.
**추천 근거:**
- 요청하신 8mm 직경, 8날 조건에 정확히 일치합니다
- 비철금속(N군) 가공에 최적화된 제품입니다
- Side Milling 작업에 적합합니다
**대안 제품:**
동일 스펙으로 **TYPE3-URT5P2AD0800**, **TYPE1-URT5P2AB0800**도 있습니다. 세 제품 모두 8mm/8날로 동일하며, TYPE 차이는 공구 형상이나 특수 사양의 차이일 수 있습니다.
**유의사항:**
- 코팅 정보가 확인되지 않습니다
- 재고 및 납기는 본사(032-526-0909) 또는 oos.yg1.solutions에서 확인 가능합니다
- 절삭조건 데이터가 없어 초기 가공 시 테스트 절삭을 권장합니다
📋 **Reference:** YG-1 내부 DB (카탈로그 데이터)
  [선택지: 상위 3개 비교 | URT5P2AP0800 상세 정보 | 시리즈 차이 설명해줘 (URT5P2AP vs URT5P2AD) | φ8mm 외 다른 직경 | Aluminum 가공 팁 보기 …]
👤 사용자: YG-1 익산 공장
🤖 AI assistant [응답 👍]: YG-1에 익산공장은 없습니다. 국내 공장은 인천(인천본공장·부평공장·서운공장), 광주, 충주 총 5곳입니다.
👤 사용자: 진짜 없어? 사우디아라비아에 공장은?
🤖 AI assistant [응답 👍] [선택지 👍]: 확인할 수 없습니다. YG-1 본사(032-526-0909)에 문의해 주세요.
(국내 공장 5곳만 정보에 있으며, 해외 공장 정보는 제공되지 않습니다.)
  [선택지: 쉽게 설명해줘 | 추천으로 골라줘 | 상관없음 | 사우디아라비아 공장 존재 여부 설명해줘]
👤 사용자: 사우디아라비아 공장 존재 여부 설명해줘
🤖 AI assistant [응답 👍] [선택지 👍]: 확인할 수 없습니다. YG-1 본사(032-526-0909)에 문의해 주세요.
(저는 국내 공장 5곳 정보만 보유하고 있으며, 해외 공장에 대해서는 안내할 수 없습니다.)
제품 추천을 계속하시겠어요?
  [선택지: 쉽게 설명해줘 | 추천으로 골라줘 | 상관없음 | company_operation 설명해줘]
👤 사용자: 영업서 정보줘
🤖 AI assistant [응답 👍] [선택지 👍]: YG-1의 국내 영업소는 5곳입니다.
- **서울**: 02-2681-3456
- **대구**: 053-600-8909
- **천안**: 041-417-0985
- **부산**: 051-314-0985
- **창원**: 055-275-0985
더 필요한 정보가 있으신가요?
  [선택지: 쉽게 설명해줘 | 추천으로 골라줘 | 상관없음 | 영업서(영업 정보)의 의미 및 YG-1 절삭공구와의 관련성 설명해줘]
👤 사용자: 영업서(영업 정보)의 의미 및 YG-1 절삭공구와의 관련성 설명해줘
🤖 AI assistant [응답 👍] [선택지 👍]: 영업비밀(영업정보)은 **공개되지 않고 독립된 가치를 지니며 비밀로 관리되는 생산·판매 방법, 기술·경영 정보**를 뜻합니다. 비공지성, 경제적 유용성, 비밀관리성 세 가지 요건을 충족해야 합니다.
YG-1은 **미러 그라인딩(Mirror Grinding) 가공기법으로 인선부 경면을 구현한 볼 엔드밀 기술**과 **100만분의 1 정밀도**를 핵심 영업비밀로 보유하고 있으며, 이를 통해 **엔드밀 세계 1위, 탭 3위, 드릴 6위**를 차지하고 있습니다. 이러한 첨단 제조공법과 기술 정보가 글로벌 경쟁우위의 핵심 요소입니다.
📌 **웹 검색 참고 (내부 DB 외부 정보)**
알루미늄 측면가공 추천으로 돌아가시겠어요?
  [선택지: 쉽게 설명해줘 | 추천으로 골라줘 | 상관없음 | 영업서(영업 정보)의 의미 및 YG-1과의 관련성 설명해줘]
👤 사용자: 네
🤖 AI assistant [응답 👍] [선택지 👍]: 알루미늄 8mm 측면 밀링용 8날 절삭공구 7개 제품을 찾았습니다.
**상위 추천 제품:**
- **URT5P2AP0800** (점수: 83.00)
- **URT5P2AD0800** (점수: 83.00)
- **URT5P2AB0800** (점수: 83.00)
이들은 알루미늄 가공에 최적화된 제품들입니다. 구체적인 제품 사양을 확인하거나, 다른 조건이 필요하시면 말씀해주세요 검색하고 싶으신가요?
  [선택지: 쉽게 설명해줘 | 추천으로 골라줘 | 상관없음]
👤 사용자: 추천으로 골라줘
🤖 AI assistant [응답 👍] [선택지 👍]: 알루미늄 사이드 밀링 가공용으로 **COMPOSITE MATERIALS URT5P2AP0800**을 추천드립니다.
**추천 근거:**
• 요청하신 8mm 직경, 8날 조건에 정확히 일치합니다
• 알루미늄 등 비철금속(N군) 가공에 최적화된 시리즈입니다
• 사이드 밀링 가공 방식을 지원합니다
**주의사항:**
• 코팅 정보가 확인되지 않습니다
• 재고 및 납기 정보는 본사(032-526-0909) 문의가 필요합니다
**동일 스펙 대안:**
2순위 TYPE3-URT5P2AD0800, 3순위 TYPE1-URT5P2AB0800도 동일한 8mm/8날 스펙이며, 타입별 미세한 형상 차이가 있을 수 있습니다. 구체적인 차이는 카탈로그 확인이 필요합니다.
📋 **Reference:** YG-1 내부 DB (카탈로그 원본 데이터)
  [선택지: 상위 3개 비교 | URT5P2AP0800 상세 정보 | 시리즈 차이 설명해줘 (URT5P2AP vs URT5P2AD) | φ8mm 외 다른 직경 | Aluminum 가공 팁 보기 …]
👤 사용자: URT5P2AP0800 상세 정보
🤖 AI assistant [응답 👍] [선택지 👍]: URT5P2AP0800 제품 정보를 내부 DB에서 조회했습니다.
| 항목 | 값 |
| --- | --- |
| 제품코드 | URT5P2AP0800 |
| 브랜드 | COMPOSITE MATERIALS |
| 시리즈 | URT5P2AP |
| 제품명 | CFRP Finishing Routers |
| 형상 | - |
| 직경 | φ8mm |
| 날 수 | 8날 |
| 코팅 | - |
| 공구 소재 | Carbide |
| 생크 직경 | φ8mm |
| 절삭 길이 | 24mm |
| 전장 | 70mm |
| 헬릭스각 | 15° |
| 쿨런트 홀 | - |
| 적용 가공 | Helical_Interpolation, Side_Milling |
| ISO 소재 | N |
설명: CFRP Finishing Routers
특징: CFRP &amp; GFRP finishing routers for smooth surface&lt;BR/&gt;YG-1 special CVD coating for extended tool life and better abrasion resistance
[Reference: YG-1 내부 DB]
  [선택지: URT5P2AP0800 재고 알려줘 | URT5P2AP0800 절삭조건 알려줘 | 추천 제품 보기]</t>
  </si>
  <si>
    <t>🎯 의도: 영업서(영업정보) 뜻과 YG-1 관련성 설명 후, 알루미늄 측면가공 추천으로 돌아가길 원함
✅ 정답 행동: 영업비밀의 일반적 의미를 간단히 설명하고, YG-1 제품 추천 대화로 자연스럽게 복귀했어야 한다. 이어서 사용자의 초기 조건(알루미늄/Side Milling/φ10mm 또는 변경된 조건)을 기준으로 다시 추천 또는 선택지를 제시해야 한다.
⚠️ 당시 문제: 특이사항 없음
💬 코멘트 분석: 별도 불만 없이 대화 흐름 전환과 추천 복귀를 요청함</t>
  </si>
  <si>
    <t>최종 평가: 👍 / 응답: 👍15 총 15개 응답 / 선택지: 👍14</t>
  </si>
  <si>
    <t>tf-evt-mn85pglz-pj983u05</t>
  </si>
  <si>
    <t>RLH-0140</t>
  </si>
  <si>
    <t>알루미늄합금용 4mm 밀링 공구 추천 요청</t>
  </si>
  <si>
    <t>🧭 초기 조건: 문의 목적=신규 제품 추천 / 피삭재 (소재)=알루미늄 / 가공 형상=Side_Milling / 가공 방식=Milling / 공구 직경=4mm
🤖 AI assistant [응답 👍] [선택지 👍]: 안녕하세요! YG-1 절삭공구 추천 서비스입니다.
입력하신 조건을 확인했습니다.
- 소재: 알루미늄
- 가공 형상: 측면 가공(Side Milling)
- 가공 방식: 밀링
- 직경: 4mm
현재 이 조건에 매칭되는 제품이 **446개** 있습니다. 최적의 제품을 추천드리기 위해 몇 가지 추가 조건을 확인하겠습니다.
먼저, 선택하신 소재는 ISO N(비철)군입니다. 알루미늄 내에서도 세부 피삭재 종류에 따라 최적 공구가 달라질 수 있는데요, **구체적으로 어떤 소재를 가공하시나요?**
아래 선택지 중 하나를 선택해주시거나, 정확히 모르시면 '상관없음'을 선택하시면 범용 제품으로 추천해드리겠습니다.
  [선택지: 비철금속 (62개) | 알루미늄 (72개) | 알루미늄 합금 (10개) | 상관없음]
👤 사용자: 알루미늄 합금 (10개)
🤖 AI assistant [응답 👍] [선택지 👍]: 시리즈 선호가 있으신가요? E5E83 — ALU-CUT 3 Flute&lt;br/&gt;45°Helix Long Neck&lt;br/&gt;End mill (44개), E5D72 — ALU-CUT 3 Flute&lt;br/&gt;45°Helix Corner Radius&lt;br/&gt;End mill (16개), CE7659 — HSSCo8(M42) 4 Flute&lt;br/&gt;30°Helix Long End mill&lt;br/&gt;(TiCN) (5개) 등의 시리즈가 있습니다.
  [선택지: E5E83 — ALU-CUT 3 Flute&lt;br/&gt;45°Helix Long Neck&lt;br/&gt;End mill (44개) | E5D72 — ALU-CUT 3 Flute&lt;br/&gt;45°Helix Corner Radius&lt;br/&gt;End mill (16개) | CE7659 — HSSCo8(M42) 4 Flute&lt;br/&gt;30°Helix Long End mill&lt;br/&gt;(TiCN) (5개) | CE7406 — HSSCo8(M42) 2 Flute&lt;br/&gt;30°Helix Long End mill&lt;br/&gt;(TiCN) (5개) | 상관없음 …]
👤 사용자: 상관없음
🤖 AI assistant [응답 👍] [선택지 👍]: 코팅 종류 선호가 있으신가요? 후보 중에 Bright Finish, TiCN, X-Coating 등이 있습니다.
  [선택지: Bright Finish (62개) | TiCN (5개) | X-Coating (5개) | 상관없음 | ⟵ 이전 단계]</t>
  </si>
  <si>
    <t>🎯 의도: 알루미늄 합금 가공용 4mm 밀링 공구를 추천받고 싶음
✅ 정답 행동: 알루미늄 합금/Side Milling/4mm 조건에 맞는 후보를 먼저 좁히고, 코팅·날수·시리즈 선호를 물어 최종 추천으로 이어가야 함.
⚠️ 당시 문제: 특이사항 없음
💬 코멘트 분석: 최종 평가가 좋았고, 3번의 응답과 선택지 모두 적절했다고 봄</t>
  </si>
  <si>
    <t>tf-evt-mn87l1z0-bq9d7mr3</t>
  </si>
  <si>
    <t>RLH-0141</t>
  </si>
  <si>
    <t>알루미늄 측면가공용 10mm 4날 공구 추천 요청</t>
  </si>
  <si>
    <t>🧭 초기 조건: 문의 목적=신규 제품 추천 / 피삭재 (소재)=알루미늄 / 가공 형상=Side_Milling / 가공 방식=Milling / 공구 직경=10mm
🤖 AI assistant [응답 👍] [선택지 👍]: 선택하신 소재는 ISO N (비철)군입니다. 세부 피삭재를 선택해주세요.
  [선택지: 비철금속 (56개) | 알루미늄 (66개) | 알루미늄 합금 (10개) | 상관없음 | 📋 지금 바로 제품 보기 (424개) …]
👤 사용자: ✨ AI 상세 분석
🤖 AI assistant [응답 👍] [선택지 👍]: 현재 추천된 10개 제품은 모두 **ALU-CUT 시리즈**로, 알루미늄 측면 가공에 최적화되어 있습니다.
**주요 특징:**
- **3날 구성**: 칩 배출이 우수하고 고속 가공에 유리
- **45° 나선각**: 절삭 저항 감소, 표면 조도 향상
- **무코팅 (Bright Finish)**: 알루미늄 특유의 구성인선 방지, 날카로운 절삭날 유지
**시리즈별 차이:**
- **E5E83 (Long Neck, #1~6)**: 깊은 홈/포켓 가공용, 돌출 길이 3단계
- **E5D74 (WAVE-CUT, #7~8)**: 물결형 날로 진동 억제, 안정적인 황삭
- **E5D72 (Corner Radius, #9~10)**: 모서리 R형상으로 공구 수명 연장
가공 깊이와 표면 요구사항에 따라 선택하시면 됩니다!
  [선택지: 쉽게 설명해줘 | 추천으로 골라줘 | 상관없음 | 비철금속이란? | 알루미늄이란? …]
👤 사용자: 추천으로 골라줘
🤖 AI assistant [응답 👍] [선택지 👍]: 현재 424개 후보가 있습니다. 날 수(flute) 선호가 있으신가요?
  [선택지: 추천으로 골라줘 | 3날 (211개)란? | 4날 (147개)란? | 3날 (211개) | 4날 (147개) …]
👤 사용자: 4날 (147개)
🤖 AI assistant [응답 👍] [선택지 👍]: 공구 세부 타입이 중요한가요? Square (127개), Roughing (11개), Corner Rounding (5개) 등이 있습니다.
  [선택지: Square (127개) | Roughing (11개) | Corner Rounding (5개) | Drill Mill (4개) | 상관없음 …]</t>
  </si>
  <si>
    <t>🎯 의도: 알루미늄 Side Milling에 맞는 10mm 공구를 추천받고 싶음
✅ 정답 행동: 알루미늄용 후보를 4날 조건으로 좁힌 뒤, 세부 타입까지 이어서 추천해줘야 함. 가능하면 Side/측면가공에 적합한 Square/Roughing 등 중 우선순위를 제시하고 최종 제품으로 안내했어야 함.
⚠️ 당시 문제: 특이사항 없음
💬 코멘트 분석: 사용자는 전체 흐름과 선택지가 적절했다고 평가함</t>
  </si>
  <si>
    <t>tf-evt-mn8a3e9o-77lxiwwe</t>
  </si>
  <si>
    <t>RLH-0142</t>
  </si>
  <si>
    <t>재고 있는 즉시구매용 알루미늄 황삭품 요청</t>
  </si>
  <si>
    <t>🧭 초기 조건: 문의 목적=신규 제품 추천 / 피삭재 (소재)=알루미늄 / 가공 형상=Side_Milling / 가공 방식=Milling / 공구 직경=10mm
🤖 AI assistant [응답 👍] [선택지 👍]: 공구 세부 타입이 중요한가요? Square (252개), Radius (95개), Roughing (24개) 등이 있습니다.
  [선택지: Square (252개) | Radius (95개) | Roughing (24개) | Drill Mill (8개) | 상관없음 …]
👤 사용자: Roughing (24개)
🤖 AI assistant [응답 👍] [선택지 👍]: 네, 알루미늄 측면 가공용 Roughing 엔드밀 24개가 매칭되었습니다.
현재 후보군은 크게 두 브랜드로 나뉩니다:
**[ALU-POWER 시리즈]**
- 알루미늄 전용 설계
- 3날 구성
- Bright Finish(무코팅) 또는 고급 코팅
- 대표 시리즈: E5E39, E5711
**[TANK-POWER 시리즈]**
- 범용 고강도 시리즈
- 4날 구성
- X-Coating 적용
- 대표 시리즈: GAA35, GAA33, GA941, GAA22
현재 φ10mm 기준으로 정확히 매칭되는 제품이 6개, φ9mm 유사 규격이 4개 포함되어 있습니다.
**다음 단계로 좁히기 위해 여쭙겠습니다:**
날 수(flute) 선호가 있으신가요?
- **3날**: 칩 배출 우수, 고속 가공에 유리 (ALU-POWER 계열)
- **4날**: 마무리 품질 우수, 안정적인 가공 (TANK-POWER 계열)
- **상관없음**: AI가 가공 조건에 맞춰 최적 제품을 선택하겠습니다
  [선택지: 3날 (13개) | 4날 (11개) | 상관없음 | ⟵ 이전 단계 | 📋 지금 바로 제품 보기 (24개) …]
👤 사용자: ✨ AI 상세 분석
🤖 AI assistant [응답 👍] [선택지 👍]: ## 🔍 현재 추천 상황 분석
**매칭 상태**: 24개 제품 (6개 정확 매칭, 18개 근사 매칭) 
**스코어 분포**: 상위 6개 84점 (정확), 나머지 56점 (직경 9mm 근사)
---
### 📊 제품군 구조
**1. ALU-POWER (알루미늄 전용)**
- E5E39: 3날, Neck 형상, 깊은 홈 가공용
- E5711: 3날, Long 타입, 깊은 황삭 전용
- 특징: 무코팅, 날카로운 인선, 칩 배출 최적화
**2. TANK-POWER (범용 고강도)**
- GAA35/GAA33/GA941/GAA22: 4날, X-Coating
- Fine/Coarse 구분 (칩 크기)
- Short/Medium/Long 길이 옵션
- 특징: 범용성(P/M/K/N), 내마모 코팅
---
### 🎯 선택 가이드
**3날 선택 시** (13개)
→ 알루미늄 전용, 칩 배출 우선, 고속 가공 
→ 대표: **E5E39100**, **E5711100**
**4날 선택 시** (11개)
→ 범용성, 면조도/생산성 균형 
→ 대표: **GAA35100** (Fine), **GAA33100** (Coarse)
---
### 💡 추가 결정 포인트
1. **가공 깊이**: Neck 형상 필요? → E5E39 
2. **칩 크기 제어**: Fine(미세) vs Coarse(굵게) 
3. **범용성**: 알루미늄 외 소재도? → TANK-POWER
날수를 선택하시면 최적 제품 1~2개로 좁혀드리겠습니다!
다시 제품 추천으로 돌아갈게요. 네, 알루미늄 측면 가공용 Roughing 엔드밀 24개가 매칭되었습니다.
현재 후보군은 크게 두 브랜드로 나뉩니다:
**[ALU-POWER 시리즈]**
- 알루미늄 전용 설계
- 3날 구성
- Bright Finish(무코팅) 또는 고급 코팅
- 대표 시리즈: E5E39, E5711
**[TANK-POWER 시리즈]**
- 범용 고강도 시리즈
- 4날 구성
- X-Coating 적용
- 대표 시리즈: GAA35, GAA33, GA941, GAA22
현재 φ10mm 기준으로 정확히 매칭되는 제품이 6개, φ9mm 유사 규격이 4개 포함되어 있습니다.
**다음 단계로 좁히기 위해 여쭙겠습니다:**
날 수(flute) 선호가 있으신가요?
- **3날**: 칩 배출 우수, 고속 가공에 유리 (ALU-POWER 계열)
- **4날**: 마무리 품질 우수, 안정적인 가공 (TANK-POWER 계열)
- **상관없음**: AI가 가공 조건에 맞춰 최적 제품을 선택하겠습니다
  [선택지: 3날 (13개) | 4날 (11개) | 상관없음 | ⟵ 이전 단계 | 📋 지금 바로 제품 보기 (24개) …]
👤 사용자: 📋 지금 바로 제품 보기 (24개)
🤖 AI assistant [응답 👍] [선택지 👍]: ```json
{
 "responseText": "## 알루미늄 황삭 가공용 추천 제품\n\n알루미늑 소재의 Side Milling 황삭 가공용으로 **ALU-POWER E5E39100**을 추천드립니다.\n\n---\n\n### [DB 데이터]\n\n**■ 제품 사양**\n- 제품코드: E5E39100\n- 시리즈: ALU-POWER E5E39\n- 형상: Roughing (황삭)\n- 직경: φ10mm\n- 날 수: 3날\n- 코팅: Bright Finish (무코팅)\n- 적합 소재: K(주강), N(비철), P(탄소강) 계열\n- 재고: **재고 있음**\n- 납기: 정보 없음 (재고 제품이므로 즉시 출고 가능)\n\n**■ 추천 근거**\n\n1. **직경 완벽 일치 (40/40점)** \n 요청하신 φ10mm와 정확히 일치합니다.\n\n2. **소재 적합성 (20/20점)** \n 알루미늄은 N군(비철금속)에 속하며, 본 제품의 materialTags에 'N'이 포함되어 있어 완벽히 매칭됩니다.\n\n3. **가공 방식 부분 일치 (8/15점)** \n 요청하신 Side Milling은 제품이 지원하는 가공방식(Side_Milling, Slotting, Die-Sinking, Small_Part, Facing) 중 하나로 포함되어 있습니다.\n\n4. **황삭 전용 형상** \n Roughing 타입으로 분류되어 있어, 대량의 칩 배출이 필요한 황삭 공정에 최적화되어 있습니다.\n\n**■ 절삭조건** \n현재 데이터베이스에서 절삭조건(Vc, fz, ap, ae) 정보를 확인할 수 없습니다. 자세한 절삭 파라미터는 카탈로그를 참조하시거나 본사(032-526-0909)로 문의하시기 바랍니다.\n\n---\n\n### [AI 보충 의견]\n\n**■ ALU-POWER 시리즈 특징**\n\nALU-POWER는 YG-1의 알루미늄 전용 시리즈로, 비철금속 가공에 최적화된 날 형상과 헬릭스 각도를 갖추고 있습니다. E5E39는 특히:\n\n- **3날 구조**: 칩 배출 공간이 넓어 알루미늄의 긴 칩을 효율적으로 배출하며, 절삭 저항을 낮춰줍니다.\n- **Bright Finish**: 무코팅 처리로 날 끝의 예리함을 극대화하여 알루미늄 가공 시 표면 조도를 개선합니다. 알루미늄처럼 연한 소재는 코팅보다 날카로운 날이 더 유리할 수 있습니다.\n- **황삭 전용**: 거친 절삭으로 빠르게 재료를 제거하는 데 특화되어 있어, 초기 가공 단계에서 생산성을 높일 수 있습니다.\n\n**■ 가공 적용 팁**\n\n1. **절삭유 사용 권장**: 알루미늄은 절삭 시 공구에 달라붙는 경향(Built-Up Edge)이 있으므로, 충분한 절삭유 공급으로 칩 배출과 열 제거를 도와주세요.\n2. **회전수 높게, 이송 적절히**: 알루미늄은 경도가 낮아 고속 가공이 가능합니다. 일반적으로 3,000~5,000 RPM 이상으로 시작하되, 이송은 공구 직경과 날 수를 고려해 조절하세요.\n3. **절입 깊이**: 황삭이므로 ap(축방향 절입) 2~4mm, ae(경방향 절입)는 직경의 40~60% 정도로 시작하는 것을 추천합니다.\n\n**■ 대안 제품 비교**\n\n현재 조건에서 동일한 84점의 제품이 5개 더 있습니다. 주요 차이점을 비교해드립니다:\n\n| 순위 | 제품코드 | 시리즈 | 날수 | 코팅 | 브랜드 | 특징 |\n|------|----------|--------|------|------|--------|------|\n| 1 | **E5E39100** | E5E39 | 3F | Bright
  [선택지: 날수로 좁히기 (3날/4날) | 코팅으로 좁히기 (Bright Finish/UNCOATED/X-Coating) | 상위 3개 비교 | E5E39100 상세 정보 | 시리즈 차이 설명해줘 (E5E39 vs E5711) …]
👤 사용자: 재고 확인 된거만 보여줘
🤖 AI assistant: "instock" 조건을 적용하면 후보가 없습니다. 현재 24개 후보에서 다른 조건을 선택해주세요.
  [선택지: 3날 (13개) | 4날 (11개) | 상관없음 | ⟵ 이전 단계 | 📋 지금 바로 제품 보기 (24개) …]
👤 사용자: 지금 재고 정보 있지않아?
🤖 AI assistant [응답 👍] [선택지 👍]: 네, 맞습니다! 현재 표시된 상위 5개 제품의 재고 정보가 있습니다:
**표시된 제품 재고 현황:**
- #1 E5E39100 (E5E39 시리즈, φ10mm, 3날, Bright Finish)
- #2 E5711100 (E5711 시리즈, φ10mm, 3날, UNCOATED)
- #3 GAA35100 (GAA35 시리즈, φ10mm, 4날, X-Coating)
- #4 GAA33100 (GAA33 시리즈, φ10mm, 4날, X-Coating)
- #5 GA941100 (GA941 시리즈, φ10mm, 4날, X-Coating)
현재 총 **24개의 Roughing 엔드밀** 후보가 있습니다.
만약 **재고가 있는 제품만** 보고 싶으시다면 "재고 있는 거로" 또는 "즉시 구매 가능한 것만"이라고 말씀해 주시면, 재고 기준으로 필터링해 드리겠습니다!
또는 날수(3날/4날)를 먼저 선택하시면 더 정확한 추천을 드릴 수 있습니다. 어떻게 진행하시겠어요?
[Reference: YG-1 내부 DB]
  [선택지: 쉽게 설명해줘 | 추천으로 골라줘 | 상관없음 | 3날이란? | 4날이란? …]
👤 사용자: 즉시 구매 가능한 것만
🤖 AI assistant [응답 👍] [선택지 👍]: 알겠습니다. 재고가 있는 제품만으로 범위를 좁히겠습니다.
현재 재고 있는 Roughing 엔드밀이 **24개** 확인됩니다. 모두 즉시 구매 가능한 제품들입니다.
이 중에서 **날 수(flute)** 선호가 있으신가요?
[DB 데이터]
- 3날: 10개 제품 (E5E39, E5711 시리즈 등)
- 4날: 14개 제품 (GAA35, GAA33, GA941, GAA22 시리즈 등)
[AI 보충 의견]
알루미늄 황삭 가공 시:
- **3날**: 칩 배출 공간이 넓어 알루미늄처럼 칩이 길게 나오는 소재에 유리하며, 절삭 저항이 낮아 고속 가공에 적합합니다.
- **4날**: 날당 이송이 줄어들어 표면 조도가 더 좋고, 공구 강성이 높아 안정적인 가공이 가능합니다.
황삭 가공에서는 일반적으로 **3날**을 많이 선택하시지만, 가공 안정성을 우선하신다면 **4날**도 좋은 선택입니다.
어떤 날 수를 선호하시나요? 상관없으시면 "상관없음"을 선택해주세요.
  [선택지: 3날 (13개) | 4날 (11개) | 상관없음 | ⟵ 이전 단계 | 📋 지금 바로 제품 보기 (24개) …]</t>
  </si>
  <si>
    <t>🎯 의도: 알루미늄 Side Milling용 황삭 엔드밀 중 재고 있는 즉시 구매 가능 제품만 확인
✅ 정답 행동: 재고 필터를 실제 DB 기준으로 적용해, 즉시 구매 가능한 후보만 목록으로 보여줘야 함. 후보가 없으면 그 사실을 명확히 설명하고, 재고 기준/다른 조건(날수·코팅·시리즈)으로 재탐색을 유도해야 함.
⚠️ 당시 문제: 재고 있음과 즉시 구매 가능의 기준이 혼동되어, 후보가 없다고 답했다가 다시 24개가 재고라고 번복함
💬 코멘트 분석: 재고 있는 제품만, 즉시 구매 가능한 것만 보고 싶다는 요구가 핵심</t>
  </si>
  <si>
    <t>최종 평가: 👍 / 응답: 👍6 총 7개 응답 / 선택지: 👍6</t>
  </si>
  <si>
    <t>tf-evt-mn8ae40y-cf94y3fg</t>
  </si>
  <si>
    <t>RLH-0143</t>
  </si>
  <si>
    <t>알루미늄 10mm 라프링 4날 제품 추천 요청</t>
  </si>
  <si>
    <t>🧭 초기 조건: 문의 목적=신규 제품 추천 / 피삭재 (소재)=알루미늄 / 가공 형상=Side_Milling / 가공 방식=Milling / 공구 직경=10mm
🤖 AI assistant [응답 👍] [선택지 👍]: 안녕하세요! 알루미늄 소재의 Side Milling 가공을 위한 직경 10mm 공구를 찾아드리겠습니다.
현재 조건에 맞는 제품이 424개 있습니다. 보다 정확한 추천을 위해 몇 가지 여쭤보겠습니다.
먼저, **공구의 형상**이 중요하신가요?
- **Square (252개)**: 평날 엔드밀로, 일반적인 측면 가공과 홈 가공에 가장 많이 사용됩니다. 날끝이 직각이라 바닥면이 평평하게 가공됩니다.
- **Radius (95개)**: 코너에 R이 있는 형상으로, 공구 수명이 길고 측면 가공 시 모서리 결손이 적습니다. 바닥면에 R 자국이 남습니다.
- **Roughing (24개)**: 거친 날 형상으로 고속 황삭 가공에 특화되어 있습니다. 많은 양의 재료를 빠르게 제거할 때 사용합니다.
- **Drill Mill (8개)**: 드릴링과 밀링을 동시에 할 수 있는 복합 공구입니다.
어떤 형상이 필요하신가요? 특별한 선호가 없으시면 "상관없음"을 선택하시면 됩니다.
  [선택지: Square (252개) | Radius (95개) | Roughing (24개) | Drill Mill (8개) | 상관없음 …]
👤 사용자: Roughing (24개)
🤖 AI assistant [응답 👍] [선택지 👍]: 네, 알루미늄 가공용 Roughing 엔드밀 24개 제품이 매칭되었습니다.
현재 후보군은 크게 두 브랜드로 나뉩니다:
**ALU-POWER 시리즈 (알루미늄 전용)**
- E5E39, E5711 등
- 3날 구성
- Bright Finish 또는 무코팅
- 알루미늄(K), 비철금속(N), 플라스틱(P) 최적화
**TANK-POWER 시리즈 (범용 고강성)**
- GAA35, GAA33, GA941, GAA22 등
- 4날 구성
- X-Coating 적용
- 알루미늄 외 연강(M)까지 가공 가능
더 정밀한 추천을 위해 **날 수(flute) 선호**를 여쭤보겠습니다:
• **3날**: 칩 배출이 원활해 알루미늄처럼 연한 소재의 고속 가공에 유리합니다. 절삭유 공급이 좋고 칩이 길게 나오는 환경에 적합합니다.
• **4날**: 날당 이송이 줄어 표면조도가 좋고 공구 수명이 길어집니다. 범용성이 높아 여러 소재를 번갈아 가공하는 환경에 적합합니다.
날 수 선호가 있으신가요? 아니면 "상관없음"을 선택하시면 현재 조건에서 가장 적합한 제품을 바로 추천해드리겠습니다.
  [선택지: 3날 (13개) | 4날 (11개) | 상관없음 | ⟵ 이전 단계 | 📋 지금 바로 제품 보기 (24개) …]
👤 사용자: 4날 (11개)
🤖 AI assistant [응답 👍] [선택지 👍]: 시리즈 선호가 있으신가요? GAA22 — TANK-POWER (5개), GAA35 — TANK-POWER (2개), GAA33 — TANK-POWER (2개) 등의 시리즈가 있습니다.
  [선택지: GAA22 — TANK-POWER (5개) | GAA35 — TANK-POWER (2개) | GAA33 — TANK-POWER (2개) | GA941 — TANK-POWER (2개) | 상관없음 …]</t>
  </si>
  <si>
    <t>🎯 의도: 알루미늄 Side Milling용 10mm 러핑 엔드밀 추천받기
✅ 정답 행동: 4날 선택을 반영해 TANK-POWER/GAA 계열 후보를 바로 좁히거나, 시리즈 선호 대신 실제 제품 리스트를 제시했어야 함. 사용자가 추가 조건을 주지 않았으므로 “상관없음” 기준으로 최적 1~3개를 추천하는 흐름이 적절함.
⚠️ 당시 문제: 특이사항 없음
💬 코멘트 분석: 최종 평가상 응답과 선택지 모두 적절했다는 의미로, 별도 불만·추가 요구 없음</t>
  </si>
  <si>
    <t>tf-evt-mn8b90ff-o3nlhaaq</t>
  </si>
  <si>
    <t>RLH-0144</t>
  </si>
  <si>
    <t>알루미늄 밀링용 3날 공구 세부타입 추천 요청</t>
  </si>
  <si>
    <t>🧭 초기 조건: 문의 목적=신규 제품 추천 / 피삭재 (소재)=알루미늄 / 가공 방식=Milling
🤖 AI assistant [응답 👍] [선택지 👍]: 안녕하세요! 알루미늄 소재 밀링 가공을 위한 제품을 찾아드리겠습니다.
현재 조건으로 1,852개의 제품이 검색되었습니다. 더 정확한 추천을 위해 몇 가지 조건을 좁혀가겠습니다.
선택하신 소재는 ISO N (비철)군입니다. 세부 피삭재를 선택해주시겠습니까?
• 비철금속 (177개) - 알루미늄 외 구리, 황동 등 포함
• 알루미늄 (275개) - 순수 알루미늄 계열
• 알루미늄 합금 (98개) - A6061, A7075 등 합금 계열
• 상관없음 - 현재 조건 그대로 진행
어떤 피삭재로 좁혀드릴까요?
  [선택지: 비철금속 (177개) | 알루미늄 (275개) | 알루미늄 합금 (98개) | 상관없음 | 📋 지금 바로 제품 보기 (1852개) …]
👤 사용자: 알루미늄 (275개)
🤖 AI assistant [응답 👍] [선택지 👍]: 네, 알루미늄 가공용 제품이 현재 275개 있습니다.
알루미늄은 연질 소재로 절삭이 쉬운 편이지만, 칩 배출과 표면 품질 관리가 중요합니다. YG-1의 ALU-CUT 시리즈는 알루미늄 전용으로 설계되어 날당 이송량이 크고 칩 배출이 우수합니다.
현재 후보를 더 좁히기 위해 몇 가지 조건을 여쭤보겠습니다.
**날 수(Flute) 선호가 있으신가요?**
- 2날: 칩 배출 공간이 넓어 깊은 홈 가공이나 고속 가공에 유리
- 3날: 범용성이 좋고 표면 조도가 우수 (가장 많이 사용)
- 4날 이상: 마무리 가공이나 고경도 알루미늄 가공에 적합
선호하시는 날 수가 있으시면 말씀해주세요. 특별한 선호가 없으시면 "상관없음"을 선택하시거나, 바로 "지금 조건으로 추천보기"를 눌러주셔도 됩니다.
  [선택지: 3날 (177개) | 4날 (49개) | 2날 (49개) | 상관없음 | ⟵ 이전 단계 …]
👤 사용자: 3날 (177개)
🤖 AI assistant [응답 👍] [선택지 👍]: 공구 세부 타입이 중요한가요? Square (98개), Radius (79개), 상관없음 등이 있습니다.
  [선택지: Square (98개) | Radius (79개) | 상관없음 | ⟵ 이전 단계 | 📋 지금 바로 제품 보기 (177개) …]</t>
  </si>
  <si>
    <t>🎯 의도: 알루미늄 밀링에 맞는 YG-1 공구를 좁혀 추천받고 싶음
✅ 정답 행동: 3날 선택을 반영해 알루미늄 밀링용 공구를 더 구체화하고, Square/Radius/상관없음 중 선택을 안내해야 함. 사용자가 바로 추천 원하면 현재 조건으로 제품 목록을 제시했어야 함.
⚠️ 당시 문제: 특이사항 없음
💬 코멘트 분석: 응답과 선택지 모두 적절했고, 최종 평가도 매우 긍정적임</t>
  </si>
  <si>
    <t>tf-evt-mn8bctho-mn4zpa5r</t>
  </si>
  <si>
    <t>RLH-0145</t>
  </si>
  <si>
    <t>알루미늄 8mm 3날 밀링공구 시리즈 추천 요청</t>
  </si>
  <si>
    <t>🧭 초기 조건: 문의 목적=신규 제품 추천 / 피삭재 (소재)=알루미늄 / 가공 방식=Milling / 공구 직경=8mm
🤖 AI assistant [응답 👍] [선택지 👍]: 안녕하세요! 알루미늄 소재에 적합한 φ8mm 밀링 공구를 찾고 계시는군요.
현재 조건으로 **406개의 제품**이 매칭됩니다. 더 정확한 추천을 위해 몇 가지 여쭤보겠습니다.
먼저, 가공하실 소재를 좀 더 구체적으로 알려주시겠어요? 알루미늄 계열 중에서도 재질에 따라 최적 공구가 달라집니다.
**아래 중 선택해주세요:**
- **비철금속** (알루미늄 외 구리, 황동 등 포함)
- **알루미늄** (일반 알루미늄)
- **알루미늁 합금** (7075, 6061 등 합금)
- **상관없음** (알루미늄 전체 범위)
  [선택지: 비철금속 (50개) | 알루미늄 (60개) | 알루미늄 합금 (10개) | 상관없음 | 📋 지금 바로 제품 보기 (406개) …]
👤 사용자: 알루미늄 (60개)
🤖 AI assistant [응답 👍] [선택지 👍]: 네, 알루미늄 가공용 8mm 엔드밀 60개 후보가 있습니다.
알루미늁 가공에서 날 수(flute)는 가공 품질과 칩 배출에 큰 영향을 줍니다:
**2날(2F)**: 칩 배출 공간이 넓어 고속 가공과 깊은 홈 가공에 유리합니다. 특히 알루미늄처럼 연질 소재에서 칩이 잘 말리는 경우 효과적입니다.
**3날(3F)**: 날당 이송을 유지하면서 테이블 이송을 높일 수 있어 생산성이 좋습니다. 중절입 가공과 일반적인 형상 가공에 적합합니다.
**4날 이상**: 마무리 가공에 유리하며 면조도가 좋지만, 알루미늄에서는 칩 배출이 어려워 2-3날을 더 많이 사용합니다.
현재 후보 중에서는 3날 제품이 다수 포함되어 있으며, 알루미늄 가공용 ALU-CUT 시리즈가 주를 이루고 있습니다.
날 수 선호가 있으시면 말씀해주시고, 특별한 선호가 없으시면 "상관없음"을 선택하시거나 바로 추천을 확인하실 수 있습니다.
  [선택지: 3날 (50개) | 4날 (5개) | 2날 (5개) | 상관없음 | ⟵ 이전 단계 …]
👤 사용자: 3날 (50개)
🤖 AI assistant [응답 👍] [선택지 👍]: 시리즈 선호가 있으신가요? E5D72 — ALU-CUT for Korean Market (26개), E5E83 — ALU-CUT for Korean Market (18개), E5D74 — ALU-CUT for Korean Market (6개) 등의 시리즈가 있습니다.
  [선택지: E5D72 — ALU-CUT for Korean Market (26개) | E5E83 — ALU-CUT for Korean Market (18개) | E5D74 — ALU-CUT for Korean Market (6개) | 상관없음 | ⟵ 이전 단계 …]</t>
  </si>
  <si>
    <t>🎯 의도: 알루미늄용 φ8mm 3날 밀링 공구를 추천받고자 함
✅ 정답 행동: 알루미늄 조건과 3날 선호를 반영해 후보 시리즈별 차이와 추천 기준을 간단히 제시하고, 사용자에게 시리즈 선택 또는 바로 추천 진행을 안내해야 함
⚠️ 당시 문제: 특이사항 없음
💬 코멘트 분석: 코멘트 없음</t>
  </si>
  <si>
    <t>tf-evt-mn8bhejo-yw3aeaon</t>
  </si>
  <si>
    <t>RLH-0146</t>
  </si>
  <si>
    <t>알루미늄 10mm 측면가공용 스퀘어 엔드밀 추천 요청</t>
  </si>
  <si>
    <t>🧭 초기 조건: 문의 목적=신규 제품 추천 / 피삭재 (소재)=알루미늄 / 가공 형상=Side_Milling / 가공 방식=Milling / 공구 직경=10mm
🤖 AI assistant [응답 👍] [선택지 👍]: 선택하신 소재는 ISO N (비철)군입니다. 세부 피삭재를 선택해주세요.
  [선택지: 비철금속 (56개) | 알루미늄 (66개) | 알루미늄 합금 (10개) | 상관없음 | 📋 지금 바로 제품 보기 (424개) …]
👤 사용자: 알루미늄 (66개)
🤖 AI assistant [응답 👍] [선택지 👍]: 네, 알루미늄 가공용 10mm 엔드밀 66개 제품이 매칭되었습니다.
현재 후보를 더 좁혀드리기 위해 **공구 형상**을 확인하고 싶습니다.
알루미늄 측면 가공(Side Milling)에서는 형상에 따라 가공 특성이 달라집니다:
• **Square (스퀘어, 34개)**: 날끝이 직각으로 되어있어 바닥면과 측면을 동시에 가공할 때 유리합니다. 90도 코너 가공이나 홈 가공에 적합하며, 날끝 강성이 좋아 알루미늄처럼 연한 소재에서 안정적입니다.
• **Radius (라디우스, 32개)**: 날끝에 R 형상이 있어 공구 수명이 길고 표면조도가 우수합니다. 곡면 가공이나 3차원 가공에 유리하며, 날끝 응력 분산으로 치핑에 강합니다.
고객님의 가공에서 **직각 코너 가공이 필요하시면 Square**, **곡면이나 공구 수명 중시라면 Radius**를 추천드립니다.
어떤 형상을 선호하시나요? 아니면 형상 구분 없이 전체 후보에서 추천을 받아보시겠습니까?
  [선택지: Square (34개) | Radius (32개) | 상관없음 | ⟵ 이전 단계 | 📋 지금 바로 제품 보기 (66개) …]
👤 사용자: Square (34개)
🤖 AI assistant [응답 👍] [선택지 👍]: 네, 알루미늄 가공용 Square 엔드밀 34개 제품이 매칭되었습니다.
현재 후보 중에서 **날 수(flute)** 선호가 있으신가요?
- **2날**: 칩 배출이 우수해 깊은 홈 가공이나 부드러운 소재에 유리합니다
- **3날**: 알루미늄 가공에 가장 많이 사용되며, 가공 속도와 표면조도의 균형이 좋습니다 (현재 후보 중 다수)
- **4날**: 표면조도가 우수하고 공구 수명이 길어 마무리 가공에 적합합니다
알루미늄 Side Milling의 경우, **3날**이 칩 배출과 절삭 효율 면에서 가장 보편적으로 추천됩니다. 특별한 선호가 없으시면 3날 기준으로 추천을 진행하겠습니다.
날 수를 선택하시거나, "상관없음"을 선택하시면 전체 조건에서 최적 제품을 추천해드리겠습니다.
  [선택지: 3날 (24개) | 2날 (5개) | 4날 (5개) | 상관없음 | ⟵ 이전 단계 …]</t>
  </si>
  <si>
    <t>🎯 의도: 알루미늄 Side Milling에 맞는 10mm 엔드밀 제품 추천
✅ 정답 행동: Square 형상을 선택한 상태에서 알루미늄 측면가공에 적합한 후보를 다음 기준(예: 날 수)으로 좁히거나, 사용자가 원하면 즉시 제품 추천 단계로 넘어가야 함.
⚠️ 당시 문제: 특이사항 없음
💬 코멘트 분석: 최종 응답과 선택지 모두 적절하다는 긍정 평가임</t>
  </si>
  <si>
    <t>tf-evt-mn8dmx21-l62rjyuq</t>
  </si>
  <si>
    <t>RLH-0147</t>
  </si>
  <si>
    <t>알루미늄 8mm 황삭 3날 시리즈 추천 요청</t>
  </si>
  <si>
    <t>🧭 초기 조건: 문의 목적=신규 제품 추천 / 피삭재 (소재)=알루미늄 / 가공 형상=Side_Milling / 가공 방식=Milling / 공구 직경=8mm
🤖 AI assistant [응답 👍] [선택지 👍]: 공구 세부 타입이 중요한가요? Square (251개), Radius (75개), Roughing (28개) 등이 있습니다.
  [선택지: Square (251개) | Radius (75개) | Roughing (28개) | Drill Mill (12개) | 상관없음 …]
👤 사용자: Roughing (28개)
🤖 AI assistant [응답 👍] [선택지 👍]: 네, 알루미늄 가공용 Roughing 엔드밀 28개 제품이 매칭되었습니다.
현재 후보군은 크게 두 가지 시리즈로 나뉩니다:
**[ALU-POWER 시리즈]**
알루미늄 전용 설계로, 넓은 칩 배출 홈과 날끝 강도를 최적화한 시리즈입니다. 비코팅(UNCOATED) 또는 Bright Finish 제품이 주를 이루며, 알루미늄의 용착을 최소화하는 날 설계가 특징입니다.
**[TANK-POWER 시리즈]**
범용성이 높은 황삭 시리즈로, X-Coating이 적용되어 내마모성과 표면 품질이 향상되었습니다. 알루미늄 외에도 연강, 주철 등 다양한 소재에 적용 가능합니다.
두 시리즈 모두 직경 8mm 제품이 다수 포함되어 있으며, 3날과 4날 옵션이 있습니다.
**다음 단계로 좁혀가겠습니다:**
날 수(flute) 선호가 있으신가요?
- **3날**: 칩 배출 공간이 넓어 알루미늄처럼 절삭 부피가 큰 소재에 유리하며, 절삭 저항이 낮고 이송 속도를 높일 수 있습니다 (현재 후보 22개)
- **4날**: 가공 효율과 표면 조도 향상에 유리하며, 보다 안정적인 절삭이 가능합니다 (현재 후보 6개)
- **상관없음**: 전체 28개 제품을 기준으로 추천을 진행하겠습니다
알루미늄 황삭 가공에서는 일반적으로 3날이 더 선호되지만, 고속 가공이나 표면 품질이 중요한 경우 4날도 좋은 선택입니다.
  [선택지: 3날 (20개) | 4날 (8개) | 상관없음 | ⟵ 이전 단계 | 📋 지금 바로 제품 보기 (28개) …]
👤 사용자: ✨ AI 상세 분석
🤖 AI assistant [응답 👍] [선택지 👍]: ## 🔍 현재 매칭 상황 (28개 후보)
**정확 매칭 (φ8mm, 6개)**
- 3날: E5E39, E5711, GAA35, GAA33, GA941 (무코팅 또는 X-Coating)
- 4날: GAA22 (X-Coating)
**근사 매칭 (φ7~9mm, 22개)**
- 직경 차이로 스코어 하락, 하지만 현장에서 충분히 대체 가능
---
## 🎯 핵심 선택 기준
**1. 날수 선택**
- **3날 (20개)**: 칩 배출 넓음, 고속 가능, 알루미늄 황삭 표준
- **4날 (8개)**: 면조도 우수, 진동 감소, 생산성↑
**2. 코팅 관련해서 말씀해주세요**
- **무코팅 (E5E39, E5711)**: 알루미늄 전용, 날카로운 인선, 용착 최소화
- **X-Coating (TANK-POWER 시리즈)**: 범용성, 탄소강/주철 겸용 가능
**3. 날 피치**
- **Coarse (조피치)**: 깊은 절입, 거친 황삭
- **Fine (세피치)**: 얕은 절입, 면조도 중시
---
## 💡 추천 전략
**순수 알루미늄만 → E5E39080 (3날 무코팅)**
**범용성 필요 → GAA35080 (3날 X-Coating)**
**면조도 우선 → GAA22080 (4날 X-Coating)**
다음 단계: 날수를 선택하시거나, 특정 시리즈로 좁히시겠습니까?
  [선택지: 쉽게 설명해줘 | 추천으로 골라줘 | 상관없음 | 3날이란? | 4날이란? …]
👤 사용자: 3날
🤖 AI assistant [응답 👍] [선택지 👍]: 시리즈 선호가 있으신가요? E5711 — ALU-POWER (5개), GAA35 — TANK-POWER (4개), GAA33 — TANK-POWER (4개) 등의 시리즈가 있습니다.
  [선택지: E5711 — ALU-POWER (5개) | GAA35 — TANK-POWER (4개) | GAA33 — TANK-POWER (4개) | GA941 — TANK-POWER (4개) | 상관없음 …]
👤 사용자: ✨ AI 상세 분석</t>
  </si>
  <si>
    <t>🎯 의도: 알루미늄 Side Milling용 8mm 황삭 공구를 3날 기준으로 좁혀 추천받기
✅ 정답 행동: 3날 선택에 맞춰 ALU-POWER와 TANK-POWER 3날 후보를 비교하고, 알루미늄 전용/범용성 기준으로 최종 추천을 제시해야 함. 사용자가 “상세 분석”을 원했으므로 시리즈별 차이와 대표 품번까지 명확히 정리하는 방향이 적절함.
⚠️ 당시 문제: 특이사항 없음
💬 코멘트 분석: 최종적으로 사용자가 평가만 남겼고 추가 요구는 없음</t>
  </si>
  <si>
    <t>tf-evt-mn8e43hl-2jh6ghjl</t>
  </si>
  <si>
    <t>RLH-0148</t>
  </si>
  <si>
    <t>알루미늄 8mm 황삭 엔드밀 추천 원함</t>
  </si>
  <si>
    <t>🧭 초기 조건: 문의 목적=신규 제품 추천 / 피삭재 (소재)=알루미늄 / 가공 형상=Side_Milling / 가공 방식=Milling / 공구 직경=8mm
🤖 AI assistant [응답 👍] [선택지 👍]: 공구 세부 타입이 중요한가요? Square (251개), Radius (75개), Roughing (28개) 등이 있습니다.
  [선택지: Square (251개) | Radius (75개) | Roughing (28개) | Drill Mill (12개) | 상관없음 …]
👤 사용자: Roughing (28개)
🤖 AI assistant [응답 👍] [선택지 👍]: 네, 알루미늄 가공용 Roughing 엔드밀 28개 제품이 매칭되었습니다.
현재 후보군은 크게 두 가지 시리즈로 나뉩니다:
**[ALU-POWER 시리즈]**
알루미늄 전용 설계로, 넓은 칩 배출 홈과 날끝 강도를 최적화한 시리즈입니다. 비코팅(UNCOATED) 또는 Bright Finish 제품이 주를 이루며, 알루미늄의 용착을 최소화하는 날 설계가 특징입니다.
**[TANK-POWER 시리즈]**
범용성이 높은 황삭 시리즈로, X-Coating이 적용되어 내마모성과 표면 품질이 향상되었습니다. 알루미늄 외에도 연강, 주철 등 다양한 소재에 적용 가능합니다.
두 시리즈 모두 직경 8mm 제품이 다수 포함되어 있으며, 3날과 4날 옵션이 있습니다.
**다음 단계로 좁혀가겠습니다:**
날 수(flute) 선호가 있으신가요?
- **3날**: 칩 배출 공간이 넓어 알루미늄처럼 절삭 부피가 큰 소재에 유리하며, 절삭 저항이 낮고 이송 속도를 높일 수 있습니다 (현재 후보 22개)
- **4날**: 가공 효율과 표면 조도 향상에 유리하며, 보다 안정적인 절삭이 가능합니다 (현재 후보 6개)
- **상관없음**: 전체 28개 제품을 기준으로 추천을 진행하겠습니다
알루미늄 황삭 가공에서는 일반적으로 3날이 더 선호되지만, 고속 가공이나 표면 품질이 중요한 경우 4날도 좋은 선택입니다.
  [선택지: 3날 (20개) | 4날 (8개) | 상관없음 | ⟵ 이전 단계 | 📋 지금 바로 제품 보기 (28개) …]
👤 사용자: ✨ AI 상세 분석
🤖 AI assistant [응답 👍] [선택지 👍]: ## 🔍 현재 매칭 상황 (28개 후보)
**정확 매칭 (φ8mm, 6개)**
- 3날: E5E39, E5711, GAA35, GAA33, GA941 (무코팅 또는 X-Coating)
- 4날: GAA22 (X-Coating)
**근사 매칭 (φ7~9mm, 22개)**
- 직경 차이로 스코어 하락, 하지만 현장에서 충분히 대체 가능
---
## 🎯 핵심 선택 기준
**1. 날수 선택**
- **3날 (20개)**: 칩 배출 넓음, 고속 가능, 알루미늄 황삭 표준
- **4날 (8개)**: 면조도 우수, 진동 감소, 생산성↑
**2. 코팅 관련해서 말씀해주세요**
- **무코팅 (E5E39, E5711)**: 알루미늄 전용, 날카로운 인선, 용착 최소화
- **X-Coating (TANK-POWER 시리즈)**: 범용성, 탄소강/주철 겸용 가능
**3. 날 피치**
- **Coarse (조피치)**: 깊은 절입, 거친 황삭
- **Fine (세피치)**: 얕은 절입, 면조도 중시
---
## 💡 추천 전략
**순수 알루미늄만 → E5E39080 (3날 무코팅)**
**범용성 필요 → GAA35080 (3날 X-Coating)**
**면조도 우선 → GAA22080 (4날 X-Coating)**
다음 단계: 날수를 선택하시거나, 특정 시리즈로 좁히시겠습니까?
  [선택지: 쉽게 설명해줘 | 추천으로 골라줘 | 상관없음 | 3날이란? | 4날이란? …]
👤 사용자: 3날
🤖 AI assistant [응답 👍] [선택지 👍]: 시리즈 선호가 있으신가요? E5711 — ALU-POWER (5개), GAA35 — TANK-POWER (4개), GAA33 — TANK-POWER (4개) 등의 시리즈가 있습니다.
  [선택지: E5711 — ALU-POWER (5개) | GAA35 — TANK-POWER (4개) | GAA33 — TANK-POWER (4개) | GA941 — TANK-POWER (4개) | 상관없음 …]
👤 사용자: ✨ AI 상세 분석
🤖 AI assistant [응답 👍] [선택지 👍]: 죄송합니다, 잠시 오류가 있었습니다. 절삭공구 관련 질문이나 가공 조건을 말씀해주세요.
  [선택지: 쉽게 설명해줘 | 추천으로 골라줘 | 상관없음 | E5711란? | GAA35란? …]</t>
  </si>
  <si>
    <t>🎯 의도: 알루미늄 사이드 밀링용 8mm 황삭 엔드밀을 추천받고 싶음
✅ 정답 행동: 3날 기준으로 알루미늄 전용 후보(E5711 등)와 범용 후보를 비교해, 시리즈/코팅/형상까지 이어서 제품 추천을 진행해야 함. 사용자가 “AI 상세 분석”을 눌렀으면 안내가 아니라 실제 분석·추천을 더 구체화해야 함.
⚠️ 당시 문제: 사용자가 선택한 흐름을 이어가지 못하고 오류 안내로 대화가 끊김
💬 코멘트 분석: 최종 평가는 좋지만, 실제로는 3날 선택 이후 구체 추천이 이어지길 원함</t>
  </si>
  <si>
    <t>tf-evt-mn8e512p-tcgdhp6g</t>
  </si>
  <si>
    <t>RLH-0149</t>
  </si>
  <si>
    <t>탄소강 Milling용 φ6 Radius 6날 추천 요청</t>
  </si>
  <si>
    <t>🧭 초기 조건: 🧭 문의 목적=신규 제품 추천 / 🧱 가공 소재=탄소강 / 🛠️ 가공 방식=Milling / 📐 가공 형상=Profiling / 공구 직경=6mm
🤖 AI assistant [응답 👍] [선택지 👍]: 공구 세부 타입이 중요한가요? Ball (173개), Square (38개), Radius (37개) 등이 있습니다.
  [선택지: Ball (173개) | Square (38개) | Radius (37개) | Corner Rounding (1개) | 상관없음 …]
👤 사용자: Radius (37개)
🤖 AI assistant [응답 👍] [선택지 👍]: 현재 37개 후보가 있습니다. 날 수(flute) 선호가 있으신가요?
  [선택지: 2날 (20개) | 6날 (6개) | 상관없음 | ⟵ 이전 단계 | 📋 지금 바로 제품 보기 (37개) …]
👤 사용자: 6날 (6개)
🤖 AI assistant [응답 👍] [선택지 👍]: 이 조건이면 SEM83506010 (SEM835)를 먼저 보시면 됩니다. Radius 형상, 6날, φ6mm 기준에 잘 맞고, 코팅은 AlTiN으로 H군, P군 소재 대응 범위를 확인할 수 있습니다. 재고 10개 (소량). 납기 정보 없음.
  [선택지: 상위 3개 비교 | SEM83506010 상세 정보 | 다른 코팅 옵션 보기 | φ6mm 외 다른 직경 | P 가공 팁 보기 …]</t>
  </si>
  <si>
    <t>🎯 의도: 탄소강 프로파일링용 6mm Radius 6날 제품 추천
✅ 정답 행동: 조건(탄소강, Milling, Profiling, φ6, Radius, 6날)에 맞는 제품을 우선 추천하고, 재고·납기·코팅 정보까지 함께 제시해야 함.
⚠️ 당시 문제: 특이사항 없음
💬 코멘트 분석: 최종 평가상 응답과 선택지가 모두 적절했다는 의미</t>
  </si>
  <si>
    <t>tf-evt-mne6bg2b-g5y98a69</t>
  </si>
  <si>
    <t>RLH-0150</t>
  </si>
  <si>
    <t>SEM83508003 제품 정보와 의미를 문의함</t>
  </si>
  <si>
    <t>🧭 초기 조건: 🧭 문의 목적=신규 제품 추천 / 🧱 가공 소재=탄소강 / 🛠️ 가공 방식=Milling / 📐 가공 형상=Profiling / 공구 직경=6mm
🤖 AI assistant [응답 👍] [선택지 👍]: 공구 세부 타입이 중요한가요? Ball (173개), Square (38개), Radius (37개) 등이 있습니다.
  [선택지: Ball (173개) | Square (38개) | Radius (37개) | Corner Rounding (1개) | 상관없음 …]
👤 사용자: Radius (37개)
🤖 AI assistant [응답 👍] [선택지 👍]: 현재 37개 후보가 있습니다. 날 수(flute) 선호가 있으신가요?
  [선택지: 2날 (20개) | 6날 (6개) | 상관없음 | ⟵ 이전 단계 | 📋 지금 바로 제품 보기 (37개) …]
👤 사용자: 6날 (6개)
🤖 AI assistant [응답 👍] [선택지 👍]: 이 조건이면 SEM83506010 (SEM835)를 먼저 보시면 됩니다. Radius 형상, 6날, φ6mm 기준에 잘 맞고, 코팅은 AlTiN으로 H군, P군 소재 대응 범위를 확인할 수 있습니다. 재고 10개 (소량). 납기 정보 없음.
  [선택지: 상위 3개 비교 | SEM83506010 상세 정보 | 다른 코팅 옵션 보기 | φ6mm 외 다른 직경 | P 가공 팁 보기 …]
👤 사용자: SEM83508003 가 뭐야 ??
🤖 AI assistant [응답 👍] [선택지 👍]: SEM83508003 제품 정보를 내부 DB에서 조회했습니다.
| 항목 | 값 |
| --- | --- |
| 제품코드 | SEM83508003 |
| 브랜드 | X-POWER S |
| 시리즈 | SEM835 |
| 제품명 | X-POWERS 6 Flute&lt;br/&gt;45°Helix Corner Radius&lt;br/&gt;End mill |
| 형상 | Radius |
| 직경 | φ8mm |
| 날 수 | 6날 |
| 코팅 | AlTiN |
| 공구 소재 | Carbide |
| 생크 직경 | φ8mm |
| 절삭 길이 | 20mm |
| 전장 | 100mm |
| 헬릭스각 | 45° |
| 쿨런트 홀 | - |
| 적용 가공 | Profiling |
| ISO 소재 | H, P |
설명: X-POWERS 6 Flute&lt;br/&gt;45°Helix Corner Radius&lt;br/&gt;End mill
[Reference: YG-1 내부 DB]
  [선택지: SEM83508003 재고 알려줘 | SEM83508003 절삭조건 알려줘 | 추천 제품 보기]</t>
  </si>
  <si>
    <t>🎯 의도: SEM83508003이 어떤 제품인지 확인하고 싶음
✅ 정답 행동: SEM83508003의 내부 DB 기준 제품명, 규격(φ8mm, 6날, Radius), 코팅/소재/적용가공 정보를 간단히 설명해야 함. 필요하면 재고나 절삭조건 조회로 이어질 수 있게 다음 행동도 안내해야 함.
⚠️ 당시 문제: 특이사항 없음
💬 코멘트 분석: 코멘트 없음</t>
  </si>
  <si>
    <t>tf-evt-mne6bv7o-zqsa3968</t>
  </si>
  <si>
    <t>RLH-0151</t>
  </si>
  <si>
    <t>절삭공구 핵심요소와 추천 의미를 물음</t>
  </si>
  <si>
    <t>🧭 초기 조건: 🧭 문의 목적=신규 제품 추천 / 🧱 가공 소재=탄소강 / 🛠️ 가공 방식=Milling / 📐 가공 형상=Profiling / 공구 직경=6mm
🤖 AI assistant [응답 👍] [선택지 👍]: 공구 세부 타입이 중요한가요? Ball (173개), Square (38개), Radius (37개) 등이 있습니다.
  [선택지: Ball (173개) | Square (38개) | Radius (37개) | Corner Rounding (1개) | 상관없음 …]
👤 사용자: Radius (37개)
🤖 AI assistant [응답 👍] [선택지 👍]: 현재 37개 후보가 있습니다. 날 수(flute) 선호가 있으신가요?
  [선택지: 2날 (20개) | 6날 (6개) | 상관없음 | ⟵ 이전 단계 | 📋 지금 바로 제품 보기 (37개) …]
👤 사용자: 6날 (6개)
🤖 AI assistant [응답 👍] [선택지 👍]: 이 조건이면 SEM83506010 (SEM835)를 먼저 보시면 됩니다. Radius 형상, 6날, φ6mm 기준에 잘 맞고, 코팅은 AlTiN으로 H군, P군 소재 대응 범위를 확인할 수 있습니다. 재고 10개 (소량). 납기 정보 없음.
  [선택지: 상위 3개 비교 | SEM83506010 상세 정보 | 다른 코팅 옵션 보기 | φ6mm 외 다른 직경 | P 가공 팁 보기 …]
👤 사용자: SEM83508003 가 뭐야 ??
🤖 AI assistant [응답 👍] [선택지 👍]: SEM83508003 제품 정보를 내부 DB에서 조회했습니다.
| 항목 | 값 |
| --- | --- |
| 제품코드 | SEM83508003 |
| 브랜드 | X-POWER S |
| 시리즈 | SEM835 |
| 제품명 | X-POWERS 6 Flute&lt;br/&gt;45°Helix Corner Radius&lt;br/&gt;End mill |
| 형상 | Radius |
| 직경 | φ8mm |
| 날 수 | 6날 |
| 코팅 | AlTiN |
| 공구 소재 | Carbide |
| 생크 직경 | φ8mm |
| 절삭 길이 | 20mm |
| 전장 | 100mm |
| 헬릭스각 | 45° |
| 쿨런트 홀 | - |
| 적용 가공 | Profiling |
| ISO 소재 | H, P |
설명: X-POWERS 6 Flute&lt;br/&gt;45°Helix Corner Radius&lt;br/&gt;End mill
[Reference: YG-1 내부 DB]
  [선택지: SEM83508003 재고 알려줘 | SEM83508003 절삭조건 알려줘 | 추천 제품 보기]
👤 사용자: 절삭공구에서 제일 중요한게 뭐에요 /
🤖 AI assistant [응답 👍] [선택지 👍]: 절삭공구에서 가장 중요한 요소는 **소재(모재), 코팅, 형상** 이 3가지입니다.
**소재**는 공구의 기본 경도와 인성을 결정하며, 초경합금(Carbide)이 최대 1000°C까지 견디며 고속 가공에 가장 많이 쓰입니다. **코팅**은 내열성과 내마모성을 크게 높이는데, 예를 들어 AlTiN 코팅은 1800°C 이상의 고온에서도 경도를 유지해 고경도강이나 항공 소재 가공에 필수입니다. **형상**(날 수, 비틀림각, 코너 R)은 칩 배출, 절삭력 분산, 면조도에 직접 영향을 주며, 가공 방식(슬롯/측면/황삭)에 맞춰 최적화해야 공구 수명과 가공 정밀도를 모두 확보할 수 있습니다.
📌 **웹 검색 참고 (내부 DB 외부 정보)** 
절삭공구 재료는 가공 소재보다 단단해야 하고, 초경합금이 경도·내마모성·고속 가공 적합성으로 가장 널리 사용되며, TiAlN 코팅은 1800°C 이상 고온 경도를 보여 항공우주 합금 고속 가공에 적합합니다. 공구 형상(여유각, 홈 폭, 날 수)도 절삭날과 공작물 접촉에 결정적입니다. *(출처: Wikipedia, Jarvis Cutting Tools, Zara Tools, Benchmark Abrasives 등 산업 기술 자료)*
  [선택지: 쉽게 설명해줘 | 추천으로 골라줘 | 상관없음]</t>
  </si>
  <si>
    <t>🎯 의도: 절삭공구에서 가장 중요한 요소와 추천 기준을 알고 싶음
✅ 정답 행동: 절삭공구 핵심을 소재·코팅·형상으로 간단히 정리해 설명하고, 사용자 가공 조건(탄소강/Milling/Profiling/φ6mm)에 맞춰 왜 해당 요소가 중요한지 연결해줘야 함. 필요하면 지금 조건에서 어떤 공구가 우선인지도 함께 안내해야 함.
⚠️ 당시 문제: 특이사항 없음
💬 코멘트 분석: 코멘트 없음</t>
  </si>
  <si>
    <t>tf-evt-mne6c69y-y84ud4fs</t>
  </si>
  <si>
    <t>RLH-0152</t>
  </si>
  <si>
    <t>8mm 근처 탄소강용 볼엔드밀 추천 요청</t>
  </si>
  <si>
    <t>🧭 초기 조건: 🧭 문의 목적=신규 제품 추천 / 🧱 가공 소재=탄소강 / 🛠️ 가공 방식=Milling / 공구 직경=8mm
🤖 AI assistant [응답 👍] [선택지 👍]: 안녕하세요! 탄소강 소재를 밀링 가공하실 직경 8mm 엔드밀을 찾고 계시는군요.
현재 조건으로 **8,462개의 제품**이 매칭되고 있습니다. 최적의 제품을 추천드리기 위해 몇 가지 조건을 좁혀가겠습니다.
먼저 **정확한 직경**을 확인하고 싶습니다. 직경 8mm 근처에 여러 규격이 있는데요:
• **8mm** (표준)
• **8.03mm**
• **7.95mm**
• **7.94mm**
• **7.938mm**
어떤 직경이 필요하신가요? 정확히 8mm가 아니라면 구체적인 규격을 알려주시면, 해당 직경에 맞는 제품으로 범위를 좁혀드리겠습니다.
  [선택지: 8mm | 8.03mm | 7.95mm | 7.94mm | 7.938mm …]
👤 사용자: 상관없어 그 근처 다해줘
🤖 AI assistant [응답 👍] [선택지 👍]: 공구 세부 타입이 중요한가요? Square (1888개), Radius (1055개), Spiral Flute (684개) 등이 있습니다.
  [선택지: Square (1888개) | Radius (1055개) | Spiral Flute (684개) | Ball (510개) | 상관없음 …]
👤 사용자: Ball (510개)
🤖 AI assistant [응답 👍] [선택지 👍]: 네, Ball 엔드밀로 좁혀서 현재 510개의 제품이 있습니다.
탄소강(Carbon Steel) 가공에 적합한 8mm Ball 엔드밀 중 상위 추천 제품을 보시면:
**1. SEME60080 (SEME60 시리즈)**
- 4날 Ball 엔드밀
- Y-Coating 적용으로 내마모성 우수
- 탄소강(H), 합금강(K), 일반강(P) 가공 최적화
- 4날 구조로 가공 효율과 표면조도 균형 잡힌 선택
**2. SEMD98080H (SEMD98 시리즈)**
- 2날 Ball 엔드밀
- 긴 날장(H 타입)으로 깊은 곡면 가공 가능
- Y-Coating으로 공구 수명 연장
- 2날 구조로 칩 배출이 우수하여 깊은 홈 가공에 유리
**3. SEM846 시리즈 (다양한 날장 옵션)**
- 2날 Ball 엔드밀
- 25mm, 35mm, 100mm 등 다양한 날장 선택 가능
- 가공 깊이에 따라 최적 옵션 선택 가능
[DB 데이터]
- 모든 제품 Y-Coating 적용
- 탄소강 가공 적합성 확인됨
- 재고 정보는 제품 선택 시 확인 가능
[AI 보충 의견]
Ball 엔드밀 선택 시 고려사항:
- **4날(SEME60)**: 가공 효율 중시, 일반적인 곡면 가공
- **2날(SEMD98, SEM846)**: 칩 배출 중시, 깊은 홈/복잡한 곡면
다음 단계로 좁히기 위해 여쭙겠습니다:
**날 수(flute) 선호가 있으신가요?** 2날과 4날 각각의 장점이 다릅니다.
  [선택지: 2날 (388개) | 4날 (53개) | 3날 (51개) | 상관없음 | ⟵ 이전 단계 …]</t>
  </si>
  <si>
    <t>🎯 의도: 탄소강 밀링용 8mm 근처 Ball 엔드밀 추천
✅ 정답 행동: 8mm 표준 및 근사 치수까지 허용한다는 점을 반영해 Ball 타입으로 바로 후보군을 제시하고, 탄소강 적합 제품 2~3개를 비교 추천해야 함. 이후 날수/날장 같은 핵심 조건으로 추가 좁히기 질문을 이어가야 함.
⚠️ 당시 문제: 특이사항 없음
💬 코멘트 분석: 최종 평가가 전반적으로 만족스럽다는 피드백</t>
  </si>
  <si>
    <t>tf-evt-mnh99mlq-a1acakws</t>
  </si>
  <si>
    <t>RLH-0153</t>
  </si>
  <si>
    <t>알루미늄 6mm용 3날 공구 추천 요청</t>
  </si>
  <si>
    <t>🧭 초기 조건: 🧭 문의 목적=신규 제품 추천 / 🌐 국가=전체 국가 (ALL)
🤖 AI assistant: 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
  [선택지: 스테인리스 10mm 4날 | 탄소강 8mm 황삭 | 알루미늄 6mm | 티타늄 가공 | 처음부터 다시]
👤 사용자: 알루미늄 6mm
🤖 AI assistant: 알루미늄 6mm 공구 503개가 검색되었습니다.
가공 목적에 따라 날 수를 선택하시면 더 정확한 추천이 가능합니다.
- 칩 배출이 중요한 가공: 2날 추천
- 범용 가공: 3날 추천
- 면조도 우선: 4날 추천
날 수 선호가 있으신가요?
  [선택지: 3날 (265개) | 2날 (170개) | 4날 (42개) | 1날 (26개) | 상관없음 …]
👤 사용자: 1날 (26개)
🤖 AI assistant: 시리즈 선호가 있으신가요? E5E88 — WIDE-CUT 1 Flute 30°Helix End mill (14개), E5E89 — WIDE-CUT 1 Flute 30°Helix(LH) End mill (8개), EL612 — HSSCo5(M35) 1 Flute N 30°Helix Regular End mill (2개) 등의 시리즈가 있습니다.
  [선택지: E5E88 — WIDE-CUT 1 Flute 30°Helix End mill (14개) | E5E89 — WIDE-CUT 1 Flute 30°Helix(LH) End mill (8개) | EL612 — HSSCo5(M35) 1 Flute N 30°Helix Regular End mill (2개) | E5C33 — ALU-POWER 1 Flute 30°Helix End mill (2개) | 상관없음 …]
👤 사용자: 3날로 바꿀래
🤖 AI assistant [응답 👍] [선택지 👍]: 공구 세부 타입이 중요한가요? Spiral Flute (72개), Gun Point (62개), Ball (45개) 등이 있습니다.
  [선택지: Spiral Flute (72개) | Gun Point (62개) | Ball (45개) | Square (39개) | 상관없음 …]</t>
  </si>
  <si>
    <t>🎯 의도: 알루미늄 6mm 가공에 맞는 공구 추천
✅ 정답 행동: 알루미늄 6mm 조건을 유지한 채 3날 기준으로 적합한 시리즈/형상 추천을 이어가야 함. 필요 시 세부 타입(Spiral Flute, Square 등)과 최종 용도(슬로팅/측면가공/정삭)를 짧게 확인해 정확도를 높여야 함.
⚠️ 당시 문제: 특이사항 없음
💬 코멘트 분석: 사용자 만족이었으며, 이전 답변과 선택지 흐름이 적절했다고 평가함</t>
  </si>
  <si>
    <t>최종 평가: 👍 / 응답: 👍1 총 4개 응답 / 선택지: 👍1</t>
  </si>
  <si>
    <t>tf-evt-mnpr8so0-7gd9d1cg</t>
  </si>
  <si>
    <t>RLH-0154</t>
  </si>
  <si>
    <t>B</t>
  </si>
  <si>
    <t>👎</t>
  </si>
  <si>
    <t>티타늄 10mm 슬로팅 코너R 공구 추천 요청</t>
  </si>
  <si>
    <t>🧭 초기 조건: 문의 목적=신규 제품 추천 / 피삭재 (소재)=티타늄 / 가공 형상=Slotting / 가공 방식=Milling / 공구 직경=10mm
🤖 AI assistant [응답 👎] [선택지 👎]: 티타늄 소재에 φ10mm 슬로팅 가공이시군요. 현재 353개 제품이 매칭됩니다.
티타늄 중에서도 어떤 재질인가요? 인코넬, 티타늄 합금 같은 세부 소재를 알려주시면 더 정확하게 추천드릴게요.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
👤 사용자: 4날 (200개)
🤖 AI assistant [응답 👍] [선택지 👍]: 4날로 200개까지 줄였습니다.
티타늄 슬로팅에는 **GMG55(V7 PLUS)**나 **GMG40(TitaNox-Power)**가 적합합니다.
- GMG55: 범용성 높고 내열성 우수 (H/K/M/P/S 전 소재)
- GMG40: 티타늄 특화 설계, 절삭유 적용 시 안정적
코팅 선호가 있으신가요? (Y-Coating, K2, TiAlN 등)
  [선택지: Y-Coating (71개) | TiAlN (57개) | AlTiN (33개) | T-Coating (31개) | 상관없음 …]
👤 사용자: Y-Coating (71개)
🤖 AI assistant [응답 👎] [선택지 👎]: 티타늄 10mm 슬로팅 가공용으로 **V7 PLUS GMG55100**을 추천드립니다.
**추천 근거:**
- **소재 최적화**: S군(티타늄) 전용 설계로 고온 강도와 인성이 우수합니다
- **슬로팅 특화**: 4날 구조로 칩 배출이 원활하고, Y-Coating이 공구 수명을 연장합니다
- **범용성**: H/K/M/P/S 전 소재군 대응 가능해 다른 작업에도 활용도가 높습니다
**대안 검토:**
- **GMG40100 (TitaNox-Power)**: M/P/S 소재 전용으로 티타늄 특화 설계. 범용성은 낮지만 티타늄 전용 작업이라면 더 적합할 수 있습니다
- GMF63 시리즈(#6~10): V7 PLUS 라인으로 GMG55와 동급 성능입니다
**주의사항:**
- 절삭조건(Vc, fz) 데이터가 없어 초기 테스트 후 조정이 필요합니다
- 납기 정보 미확인 상태이므로 긴급한 경우 재고 확인(032-526-0909)을 권장합니다
📋 **Reference:** YG-1 내부 DB (카탈로그 스펙, 재고 정보)
  [선택지: 대체 후보 4개 비교하기 | 절삭조건 알려줘 | 왜 이 제품을 추천했나요? | 다른 코팅 옵션 보기]
👤 사용자: Ball 타입 빼고 corner radius 타입 으로 소개시켜줘
🤖 AI assistant [응답 👎] [선택지 👎]: 티타늄 슬로팅 가공용으로 **TitaNox-Power GMG40100**을 추천드립니다.
이 제품을 선택한 이유는:
1. **티타늄 전용 설계** - S군(난삭재) 태깅으로 티타늄 가공에 최적화되어 있습니다
2. **슬로팅 특화** - 요청하신 슬로팅 가공 방식에 정확히 매칭됩니다
3. **코너 R 타입** - 요청하신 대로 볼 타입이 아닌 코너 반경 형상입니다
4. **즉시 출고 가능** - 현재 재고 보유 중입니다
**대안 제품:**
- **GMF63100 (V7 PLUS)** - 범용성이 더 높은 옵션입니다. 티타늄 외에도 H/K/M/P군까지 가공 가능하며, 다양한 소재를 번갈아 작업하는 환경이라면 이쪽이 유리합니다.
**주의사항:**
- 절삭조건(Vc, fz 등) 데이터가 현재 시스템에 없습니다. 카탈로그나 기술지원팀(032-526-0909)을 통해 확인하시길 권장합니다.
- 납기 정보는 별도 확인이 필요합니다.
📋 **Reference:** YG-1 내부 DB (카탈로그 데이터 + 재고 정보)
  [선택지: 대체 후보 4개 비교하기 | 절삭조건 알려줘 | 왜 이 제품을 추천했나요? | 다른 코팅 옵션 보기]</t>
  </si>
  <si>
    <t>🎯 의도: 티타늄 슬로팅용 10mm 코너R 엔드밀 추천
✅ 정답 행동: 사용자 조건에 맞춰 Ball 타입이 아닌 corner radius 타입의 10mm 티타늄용 슬로팅 공구만 재추천해야 한다. 코팅은 Y-Coating 선호를 반영하되, 범용/대안까지 간단히 1~2개 비교해 제시하는 것이 적절하다.
⚠️ 당시 문제: Ball 타입을 배제하라는 요청을 제대로 반영하지 못한 채 부적절한 제품/설명을 섞어 추천함
💬 코멘트 분석: 코너 R 타입으로만 다시 소개하라는 요구였으나 최종 추천이 조건을 완전히 맞추지 못함</t>
  </si>
  <si>
    <t>최종 평가: 👎 / 응답: 👍2 👎3 총 5개 응답 / 선택지: 👍2 👎3</t>
  </si>
  <si>
    <t>tf-evt-mn5haip8-ce7ye86q</t>
  </si>
  <si>
    <t>RLH-0155</t>
  </si>
  <si>
    <t>E5E83와 E5D74 차이 비교를 원함</t>
  </si>
  <si>
    <t>🧭 초기 조건: 문의 목적=신규 제품 추천 / 피삭재 (소재)=알루미늄 / 가공 형상=Side_Milling / 가공 방식=Milling / 공구 직경=10mm
🤖 AI assistant [응답 👍] [선택지 👍]: 알루미늄 소재, 10mm 직경으로 Side Milling 작업이시군요. 현재 424개 제품이 매칭됩니다.
알루미늄 중에서도 **연질 알루미늄**인가요, 아니면 **주조 합금**이나 **단조 합금** 같은 특정 종류인가요? 소재 특성에 따라 최적 제품이 달라집니다.
  [선택지: 알루미늄 | 알루미늄 (연질) | 알루미늄 단조 합금 | 알루미늄 주조 합금 | 알루미늄 합금 …]
👤 사용자: 알루미늄
🤖 AI assistant [응답 👍] [선택지 👍]: 네, 알루미늄 가공용으로 좁혀드릴게요.
공구 끝 형상이 중요한가요?
- **Square (평날)**: 34개 - 측면/바닥 모서리 가공
- **Radius (라운드)**: 32개 - 곡면/모서리 강도 필요 시
어떤 형상을 선호하시나요?
  [선택지: Square (34개) | Radius (32개) | 상관없음 | ⟵ 이전 단계]
👤 사용자: Square (34개)
🤖 AI assistant [응답 👍] [선택지 👍]: 네, Square 엔드밀로 좁혔습니다. 현재 34개 후보 중 상위 10개를 보여드렸어요.
날 수 선호가 있으신가요? (2날/3날/4날 등)
  [선택지: 3날 (24개) | 4날 (5개) | 2날 (5개) | 상관없음 | ⟵ 이전 단계]
👤 사용자: 날수는 어떤 경우에 달라지나요?
🤖 AI assistant [응답 👍] [선택지 👍]: 날수(날개 수, Flute Count)는 엔드밀의 절삭 날 개수를 의미하며, 가공 상황에 따라 다르게 선택됩니다:
## 날수 선택 기준
**2날 (2 Flute)**
- **용도**: 알루미늄, 비철금속, 연질 재료
- **특징**: 칩 배출 공간이 넓어 칩이 많이 발생하는 재료에 유리
- **장점**: 절삭 속도 향상, 칩 막힘 방지
- **단점**: 강성이 상대적으로 낮음
**3날 (3 Flute)**
- **용도**: 알루미늄 범용 가공, 균형잡힌 선택
- **특징**: 2날과 4날의 중간 특성
- **장점**: 적절한 칩 배출 + 적절한 강성 및 표면조도
- **단점**: 특화된 장점은 다소 약함
**4날 (4 Flute)**
- **용도**: 철강, 스테인레스강, 경질 재료
- **특징**: 강성이 높고 표면조도가 우수
- **장점**: 안정적인 가공, 공구 수명 향상, 좋은 표면 품질
- **단점**: 칩 배출 공간이 좁아 연질 재료에는 부적합
**5날 이상**
- **용도**: 경화강, 정밀 가공, 고속 가공
- **특징**: 매우 높은 강성과 최상의 표면조도
- **장점**: 진동 감소, 정밀도 향상
- **단점**: 칩 배출이 어려움
## 현재 상황
알루미늄 가공용 Square 엔드밀을 찾고 계시므로, **3날(24개 제품)** 또는 **2날(5개 제품)**이 적합합니다. 4날은 알루미늄에서는 칩 막힘 위험이 있어 일반적으로 권장되지 않습니다.
어떤 날수로 진행하시겠습니까?
[Reference: YG-1 내부 DB + 절삭공구 일반 지식]
  [선택지: 3날 | 4날 | 2날 | 상관없음]
👤 사용자: 3날
🤖 AI assistant [응답 👍] [선택지 👍]: **브랜드명:** ALU-CUT for Korean Market | **제품코드:** GEE8310055
알루미늄 측면가공용으로 **ALU-CUT E5E83 GEE8310055**를 추천드립니다.
**추천 근거:**
1. 요청하신 φ10mm 3날 스펙과 정확히 일치합니다
2. 알루미늄 전용 시리즈(E5E83)로 칩 배출 최적화 설계
3. Bright Finish 코팅으로 알루미�ム 가공 시 용착 방지
**동일 스펙 대안:**
- **E5E83 시리즈** (GEE8310045/035, E5E8310055/045/035): 날 길이만 다른 동일 시리즈
- **E5D74 시리즈** (GED74100, E5D74100): 범용성 높은 표준형
※ 재고/납기 정보는 확인되지 않았습니다. 주문 전 032-526-0909로 재고 문의 권장합니다.
📋 **Reference:** YG-1 내부 DB (카탈로그 스펙 데이터)
  [선택지: 대체 후보 4개 비교하기 | 절삭조건 알려줘 | 왜 이 제품을 추천했나요? | 다른 코팅 옵션 보기]
👤 사용자: E5E83 이랑 E5D74 의 시리즈의 특성 및 차이는 뭔가요?
🤖 AI assistant [응답 👎] [선택지 👎]: E5E83과 E5D74 시리즈의 특성 및 차이점을 설명해드리겠습니다.
## **E5E83 시리즈**
- **타입**: Square 엔드밀 (평날)
- **날수**: 3날
- **특징**: 
 - 알루미늄 가공에 최적화된 설계
 - 3날 구조로 칩 배출이 우수
 - 고속 가공에 적합
 - 넓은 홈 설계로 비철금속 가공 시 칩 막힘 방지
 - 일반적으로 Bright Finish (무코팅) 제공
## **E5D74 시리즈**
- **타입**: 일반적으로 다목적 또는 특수 용도 엔드밀
- **특징**:
 - E5E83보다 범용성이 있거나 다른 소재/가공 조건에 최적화
 - 날수, 코팅, 형상이 다를 수 있음
 - 가공 대상 소재나 가공 방식에 따라 설계 차별화
## **주요 차이점**
1. **가공 대상**: E5E83은 알루미늄 등 비철금속 특화, E5D74는 다른 용도/소재
2. **날수 및 홈 설계**: 칩 배출 및 절삭력 분산 방식 차이
3. **코팅 옵션**: 용도에 따라 다른 코팅 적용
4. **절삭 조건**: 권장 속도, 이송 등이 다름
현재 추천된 제품들은 모두 **E5E83 시리즈**로, 알루미늄 가공에 최적화된 3날 Square 엔드밀입니다.
더 구체적인 E5D74 시리즈의 스펙이나 적용 분야가 궁금하시다면, 해당 시리즈의 제품 코드나 용도를 알려주시면 더 정확한 비교가 가능합니다.
[Reference: YG-1 내부 DB + AI 지식 추론]
  [선택지: 후보 5개 전체 비교 | 절삭조건 알려줘 | 처음부터 다시]</t>
  </si>
  <si>
    <t>🎯 의도: E5E83와 E5D74 시리즈의 특성·차이 비교
✅ 정답 행동: 두 시리즈의 실제 카탈로그 스펙을 기준으로 날수, 코팅, 형상, 적용 소재, 칩 배출 특성, 추천 가공 조건을 항목별로 비교해야 함. 불확실한 부분은 추측하지 말고 “확인 필요”로 표시하고, 필요 시 해당 시리즈의 구체 코드/카탈로그 기준으로 다시 안내해야 함.
⚠️ 당시 문제: E5D74를 “다목적/특수 용도”로만 설명해 근거가 부족했고, E5E83의 코팅 설명도 앞선 추천과 다르게 단정적이어서 부정확함.
💬 코멘트 분석: 최종 평가는 불만족이며, 응답과 선택지 모두 대체로 좋았지만 핵심 비교가 정확하지 않았다는 의미임</t>
  </si>
  <si>
    <t>최종 평가: 👎 / 응답: 👍5 👎1 총 6개 응답 / 선택지: 👍5 👎1</t>
  </si>
  <si>
    <t>tf-evt-mn4tnx1c-ujysaifc</t>
  </si>
  <si>
    <t>RLH-0156</t>
  </si>
  <si>
    <t>알루미늄용 E5E83와 E5D74 차이/적용 확인 요청</t>
  </si>
  <si>
    <t>🧭 초기 조건: 문의 목적=신규 제품 추천 / 피삭재 (소재)=알루미늄 / 가공 형상=Side_Milling / 가공 방식=Milling / 공구 직경=10mm
🤖 AI assistant [응답 👍] [선택지 👍]: 알루미늄 소재, 10mm 직경으로 Side Milling 작업이시군요. 현재 424개 제품이 매칭됩니다.
알루미늄 중에서도 **연질 알루미늄**인가요, 아니면 **주조 합금**이나 **단조 합금** 같은 특정 종류인가요? 소재 특성에 따라 최적 제품이 달라집니다.
  [선택지: 알루미늄 | 알루미늄 (연질) | 알루미늄 단조 합금 | 알루미늄 주조 합금 | 알루미늄 합금 …]
👤 사용자: 알루미늄
🤖 AI assistant [응답 👍] [선택지 👍]: 네, 알루미늄 가공용으로 좁혀드릴게요.
공구 끝 형상이 중요한가요?
- **Square (평날)**: 34개 - 측면/바닥 모서리 가공
- **Radius (라운드)**: 32개 - 곡면/모서리 강도 필요 시
어떤 형상을 선호하시나요?
  [선택지: Square (34개) | Radius (32개) | 상관없음 | ⟵ 이전 단계]
👤 사용자: Square (34개)
🤖 AI assistant [응답 👍] [선택지 👍]: 네, Square 엔드밀로 좁혔습니다. 현재 34개 후보 중 상위 10개를 보여드렸어요.
날 수 선호가 있으신가요? (2날/3날/4날 등)
  [선택지: 3날 (24개) | 4날 (5개) | 2날 (5개) | 상관없음 | ⟵ 이전 단계]
👤 사용자: 날수는 어떤 경우에 달라지나요?
🤖 AI assistant [응답 👍] [선택지 👍]: 날수(날개 수, Flute Count)는 엔드밀의 절삭 날 개수를 의미하며, 가공 상황에 따라 다르게 선택됩니다:
## 날수 선택 기준
**2날 (2 Flute)**
- **용도**: 알루미늄, 비철금속, 연질 재료
- **특징**: 칩 배출 공간이 넓어 칩이 많이 발생하는 재료에 유리
- **장점**: 절삭 속도 향상, 칩 막힘 방지
- **단점**: 강성이 상대적으로 낮음
**3날 (3 Flute)**
- **용도**: 알루미늄 범용 가공, 균형잡힌 선택
- **특징**: 2날과 4날의 중간 특성
- **장점**: 적절한 칩 배출 + 적절한 강성 및 표면조도
- **단점**: 특화된 장점은 다소 약함
**4날 (4 Flute)**
- **용도**: 철강, 스테인레스강, 경질 재료
- **특징**: 강성이 높고 표면조도가 우수
- **장점**: 안정적인 가공, 공구 수명 향상, 좋은 표면 품질
- **단점**: 칩 배출 공간이 좁아 연질 재료에는 부적합
**5날 이상**
- **용도**: 경화강, 정밀 가공, 고속 가공
- **특징**: 매우 높은 강성과 최상의 표면조도
- **장점**: 진동 감소, 정밀도 향상
- **단점**: 칩 배출이 어려움
## 현재 상황
알루미늄 가공용 Square 엔드밀을 찾고 계시므로, **3날(24개 제품)** 또는 **2날(5개 제품)**이 적합합니다. 4날은 알루미늄에서는 칩 막힘 위험이 있어 일반적으로 권장되지 않습니다.
어떤 날수로 진행하시겠습니까?
[Reference: YG-1 내부 DB + 절삭공구 일반 지식]
  [선택지: 3날 | 4날 | 2날 | 상관없음]
👤 사용자: 3날
🤖 AI assistant [응답 👍] [선택지 👍]: **브랜드명:** ALU-CUT for Korean Market | **제품코드:** GEE8310055
알루미늄 측면가공용으로 **ALU-CUT E5E83 GEE8310055**를 추천드립니다.
**추천 근거:**
1. 요청하신 φ10mm 3날 스펙과 정확히 일치합니다
2. 알루미늄 전용 시리즈(E5E83)로 칩 배출 최적화 설계
3. Bright Finish 코팅으로 알루미�ム 가공 시 용착 방지
**동일 스펙 대안:**
- **E5E83 시리즈** (GEE8310045/035, E5E8310055/045/035): 날 길이만 다른 동일 시리즈
- **E5D74 시리즈** (GED74100, E5D74100): 범용성 높은 표준형
※ 재고/납기 정보는 확인되지 않았습니다. 주문 전 032-526-0909로 재고 문의 권장합니다.
📋 **Reference:** YG-1 내부 DB (카탈로그 스펙 데이터)
  [선택지: 대체 후보 4개 비교하기 | 절삭조건 알려줘 | 왜 이 제품을 추천했나요? | 다른 코팅 옵션 보기]
👤 사용자: E5E83 이랑 E5D74 의 시리즈의 특성 및 차이는 뭔가요?
🤖 AI assistant [응답 👎] [선택지 👎]: E5E83과 E5D74 시리즈의 특성 및 차이점을 설명해드리겠습니다.
## **E5E83 시리즈**
- **타입**: Square 엔드밀 (평날)
- **날수**: 3날
- **특징**: 
 - 알루미늄 가공에 최적화된 설계
 - 3날 구조로 칩 배출이 우수
 - 고속 가공에 적합
 - 넓은 홈 설계로 비철금속 가공 시 칩 막힘 방지
 - 일반적으로 Bright Finish (무코팅) 제공
## **E5D74 시리즈**
- **타입**: 일반적으로 다목적 또는 특수 용도 엔드밀
- **특징**:
 - E5E83보다 범용성이 있거나 다른 소재/가공 조건에 최적화
 - 날수, 코팅, 형상이 다를 수 있음
 - 가공 대상 소재나 가공 방식에 따라 설계 차별화
## **주요 차이점**
1. **가공 대상**: E5E83은 알루미늄 등 비철금속 특화, E5D74는 다른 용도/소재
2. **날수 및 홈 설계**: 칩 배출 및 절삭력 분산 방식 차이
3. **코팅 옵션**: 용도에 따라 다른 코팅 적용
4. **절삭 조건**: 권장 속도, 이송 등이 다름
현재 추천된 제품들은 모두 **E5E83 시리즈**로, 알루미늄 가공에 최적화된 3날 Square 엔드밀입니다.
더 구체적인 E5D74 시리즈의 스펙이나 적용 분야가 궁금하시다면, 해당 시리즈의 제품 코드나 용도를 알려주시면 더 정확한 비교가 가능합니다.
[Reference: YG-1 내부 DB + AI 지식 추론]
  [선택지: 후보 5개 전체 비교 | 절삭조건 알려줘 | 처음부터 다시]
👤 사용자: E5D74도 알루미늄용 아니에요?
🤖 AI assistant [응답 👎] [선택지 👎]: E5D74 제품에 대해 궁금하시군요. 현재 추천 결과에서는 해당 제품이 후보로 나타나지 않고 있습니다. 
E5D74가 알루미늄 가공용인지 확인하시려면, 제품 검색이나 별도 문의를 통해 정확한 사양을 확인하시는 것이 좋습니다. 현재 추천 과정에서는 고객님께서 선택하신 조건들(가공 소재, 가공 형태 등)에 따라 최적의 제품들을 찾고 있습니다.
더 정확한 제품 정보가 필요하시면 구체적인 제품명이나 카탈로그 번호로 직접 검색해보시거나, 담당 영업팀에 문의하시는 것을 권장드립니다.
  [선택지: 후보 5개 전체 비교 | 절삭조건 알려줘 | 처음부터 다시]</t>
  </si>
  <si>
    <t>🎯 의도: E5D74도 알루미늄용인지, 두 시리즈 차이를 정확히 알고 싶음
✅ 정답 행동: E5D74와 E5E83의 공식 스펙을 기준으로 알루미늄 적용 여부를 확인해 비교해야 함. 두 시리즈의 형상, 날수, 코팅, 권장 소재/가공 조건을 표로 정리해 정확히 설명하고, 확실하지 않으면 추정하지 말고 카탈로그/DB 기준으로 재확인 안내해야 함.
⚠️ 당시 문제: E5D74를 후보가 아니라고 단정하며 알루미늄용 여부를 회피했고, 이전 답변에서 E5D74를 범용처럼 설명해 일관성이 떨어졌음
💬 코멘트 분석: E5D74도 알루미늄용인지 명확한 근거로 확인해달라는 요구가 핵심</t>
  </si>
  <si>
    <t>최종 평가: 👎 / 응답: 👍5 👎2 총 7개 응답 / 선택지: 👍5 👎2</t>
  </si>
  <si>
    <t>tf-evt-mn4tqaez-vvkckcc0</t>
  </si>
  <si>
    <t>RLH-0157</t>
  </si>
  <si>
    <t>티타늄 10mm 슬로팅용 공구 추천 후, 1·2순위 비교 요청</t>
  </si>
  <si>
    <t>🧭 초기 조건: 문의 목적=신규 제품 추천 / 피삭재 (소재)=티타늄 / 가공 형상=Slotting / 가공 방식=Milling / 공구 직경=10mm
🤖 AI assistant [응답 👍] [선택지 👍]: 티타늄 소재를 10mm 엔드밀로 슬로팅 가공하시는군요. 현재 353개 제품이 매칭됩니다.
티타늄의 세부 종류를 알려주시면 더 정확한 추천이 가능합니다. 순수 티타늄인가요, 아니면 Ti-6Al-4V 같은 티타늄 합금인가요?
  [선택지: 내열합금 | 니켈 기반 내열합금 | 인코넬 | 철 기반 내열합금 | 코발트 기반 내열합금 …]
👤 사용자: 상관없음
🤖 AI assistant [응답 👎] [선택지 👎]: 코팅은 어떤 걸 선호하시나요? (Y-Coating, TiAlN, 무코팅 등)
  [선택지: 4날 (200개) | 6날 (51개) | 3날 (41개) | 5날 (32개) | 상관없음 …]
👤 사용자: 4날 (200개)
🤖 AI assistant [응답 👍] [선택지 👍]: 4날로 200개까지 좁혔습니다.
티타늄 슬로팅은 절삭 부하가 크기 때문에 **코팅 관련해서 말씀해주세요이 공구 수명에 직결**됩니다.
현재 후보 중 Y-Coating(범용 고경도), K2(고온 안정성), TiAlN(저마찰) 등이 있는데, **어떤 코팅을 선호하시나요?**
특별한 선호가 없으시면 Y-Coating(티타늄 가공 검증된 범용)으로 추천드리겠습니다.
  [선택지: Y-Coating (71개) | TiAlN (57개) | AlTiN (33개) | T-Coating (31개) | 상관없음 …]
👤 사용자: Y-Coating (71개)
🤖 AI assistant [응답 👍] [선택지 👍]: 티타늄 슬로팅 가공용으로 **V7 PLUS GMG55100**을 추천드립니다.
**추천 근거:**
1. **티타늄(S군) 전용 설계** - 제품 스펙에 S(티타늄) 소재 태그가 명시되어 있어 난삭재 가공에 최적화되어 있습니다
2. **슬로팅 전용 형상** - 4날 구성으로 칩 배출이 원활하며, 측면 절삭 시 강성이 우수합니다
3. **Y-Coating 적용** - 고온 환경에서 공구 수명 연장 효과가 있어 티타늄 가공에 유리합니다
4. **즉시 출고 가능** - 재고 보유 중입니다
**대안 제품:**
- **GMG40 시리즈** (GMG40100, GMG40906 등) - M/P/S 소재 범용성이 높으나, 티타늄에는 GMG55가 전용 설계되어 있어 더 유리합니다
- **GMF63 시리즈** (GMF63100, GMF63926 등) - GMG55와 동일한 V7 PLUS 라인이지만, 슬로팅보다는 일반 밀링에 최적화된 형상입니다
**주의사항:**
- 절삭조건(Vc, fz 등) 정보가 현재 데이터에 없습니다. 티타늄 가공 시 일반적으로 낮은 절삭속도(30-50 m/min)와 충분한 절삭유 공급이 필요하므로, 구체적인 조건은 YG-1 기술지원팀(032-526-0909)에 문의하시길 권장합니다
- 납기 정보는 확인되지 않았습니다
📋 **Reference:**
- YG-1 내부 DB (카탈로그 스펙, 재고 정보)
- 절삭조건: 정보 없음 (카탈로그 확인 필요)
  [선택지: 대체 후보 4개 비교하기 | 절삭조건 알려줘 | 왜 이 제품을 추천했나요? | 다른 코팅 옵션 보기]
👤 사용자: 추천순위 1 인 GMG55100과 추천순위 2인 GMG40100에 대해서 비교
🤖 AI assistant [응답 👎]: 오류가 발생했습니다. 다시 시도해주세요.</t>
  </si>
  <si>
    <t>🎯 의도: 추천된 GMG55100과 GMG40100의 차이 비교
✅ 정답 행동: 두 제품의 용도 차이, 소재 적합성, 형상/날수, 코팅, 절삭 안정성, 추천 우선순위를 표로 간단히 비교해야 함. 사용자 목적이 티타늄 슬롯팅이므로 GMG55100을 1순위로 유지하되 GMG40100은 범용 대안으로 설명하고, 절삭조건/재고/대체 가능성까지 함께 안내해야 함.
⚠️ 당시 문제: 비교 요청에 대해 오류만 반환해 답변을 제공하지 못함
💬 코멘트 분석: 비교 답변이 필요했는데 오류로 중단되어 실제 비교 정보 제공을 원함</t>
  </si>
  <si>
    <t>최종 평가: 👎 / 응답: 👍3 👎2 총 5개 응답 / 선택지: 👍3 👎1</t>
  </si>
  <si>
    <t>tf-ses-1774372326421-5</t>
  </si>
  <si>
    <t>RLH-0158</t>
  </si>
  <si>
    <t>슬롯 가공 형상 적합성 설명을 요청함</t>
  </si>
  <si>
    <t>🧭 초기 조건: 문의 목적=신규 제품 추천 / 피삭재 (소재)=티타늄 / 가공 형상=Slotting / 가공 방식=Milling / 공구 직경=10mm
🤖 AI assistant [응답 👍] [선택지 👍]: 티타늄 소재, 슬로팅 가공, φ10mm 조건으로 353개 제품이 매칭됩니다. 티타늄 중에서도 세부 소재를 선택해주시면 더 정확한 추천이 가능합니다. 어떤 소재인가요?
[내열합금 | 니켈 기반 내열합금 | 인코넬 | 철 기반 내열합금 | 코발트 기반 내열합금 | 티타늄 | 티타늄 합금 | 티타늄강 | 상관없음]
  [선택지: 내열합금 | 니켈 기반 내열합금 | 인코넬 | 철 기반 내열합금 | 코발트 기반 내열합금 …]
👤 사용자: 상관없음
🤖 AI assistant [응답 👍] [선택지 👎]: 알겠습니다. 코팅 선호는 있으신가요? (예: TiAlN, DLC, 무코팅 등)
  [선택지: 4날 (200개) | 6날 (51개) | 3날 (41개) | 5날 (32개) | 상관없음 …]
👤 사용자: 4날 (200개)
🤖 AI assistant [응답 👍] [선택지 👍]: 4날로 200개까지 좁혔습니다. 코팅 종류 선호가 있으신가요? 현재 후보 중에 Y-Coating(티타늄 특화), K2(범용 고경도), TiAlN(내열성) 등이 있습니다.
  [선택지: Y-Coating (71개) | TiAlN (57개) | AlTiN (33개) | T-Coating (31개) | 상관없음 …]
👤 사용자: Y-Coating (71개)
🤖 AI assistant [응답 👍] [선택지 👍]: 티타늄 슬롯팅 가공용으로 **V7 PLUS GMG55100**을 추천드립니다.
**추천 근거:**
1. **티타늄(S군) 전용 최적화** - GMG55 시리즈는 난삭재 가공에 특화된 4날 엔드밀로, Y-Coating이 티타늄 가공 시 공구 수명을 극대화합니다.
2. **슬롯팅 전용 설계** - 요청하신 10mm 직경, 4날 구성으로 측면 절입 시 진동을 최소화하며 칩 배출이 원활합니다.
3. **범용성** - H/K/M/P/S 소재군 전체 대응 가능하여 다품종 가공에도 활용할 수 있습니다.
**대안 제품:**
- **GMG40100** (TitaNox-Power): M/P/S 소재 전문. 티타늄만 집중 가공한다면 이쪽이 공구비 대비 효율적일 수 있습니다.
- **GMF63100** (V7 PLUS): GMG55와 동일 스펙이나 시리즈 차이. 재고 상황에 따라 선택 가능합니다.
**주의사항:**
- 절삭조건(Vc, fz) 데이터가 없어 초기 가공 시 보수적으로 시작 권장. 기술지원(032-526-0909) 문의 추천.
- 납기 정보 미확인. 긴급 시 재고 확인 필요.
📋 **Reference:**
- 제품 스펙: YG-1 내부 DB (카탈로그 데이터)
- 재고 정보: YG-1 내부 DB
- 절삭조건: 정보 없음 (기술지원 문의 필요)
  [선택지: 대체 후보 4개 비교하기 | 절삭조건 알려줘 | 왜 이 제품을 추천했나요? | 다른 코팅 옵션 보기]
👤 사용자: GMG55 시리즈와 GMG40 시리즈의 차이점?
🤖 AI assistant [응답 👍] [선택지 👍]: GMG55와 GMG40의 가장 큰 차이는 형상으로, GMG55는 Ball 엔드밀이고 GMG40은 Corner Radius 엔드밀입니다. GMG55는 V7 PLUS 브랜드의 볼 형상으로 측면 가공, 프로파일링, 소형 부품 가공에 적합하며 직경 φ3~25mm로 소경부터 제공되고, GMG40은 TITANOX-POWER 브랜드의 코너 R 형상으로 측면 가공, 슬롯팅, 금형 가공, 페이싱까지 다양한 작업이 가능하며 직경은 φ6~25mm부터 시작합니다. 두 제품 모두 4날, 다중 헬릭스 설계로 진동을 억제하지만, GMG40은 Double Core 구조로 강성과 칩 배출이
GMG55 vs GMG40 시리즈를 내부 DB 기준으로 비교했습니다.
| 항목 | GMG55 | GMG40 |
| --- | --- | --- |
| 브랜드 | V7 PLUS | TITANOX-POWER |
| 설명 | V7 PLUS 4 Flute&lt;br/&gt;Multiple Helix Regular&lt;br/&gt;Ball End mill | TitaNox-Power 4 Flute&lt;br/&gt;Multiple Helix Double Core&lt;br/&gt;Corner Radius End mill |
| 주요 feature | ▶ Special flute geometry and multiple helix eliminate vibrations&lt;br/&gt;&lt;br/&gt;▶ Excellent performance for Stainless Steels, Mild Steels, Cast Iron, Low/Medium hardness materials under HRc40 | ▶ Double Core E/M has a Unique Flute Design for excellent chip evacuation and higher rigidity&lt;br/&gt;&lt;br/&gt;▶ The double core adds stability and aids chip flow, reducing tool deflection, improving&lt;br/&gt;dimensional stability and workpiece accuracy |
| 공구 타입 | Solid | Solid |
| 형상 | Side_Milling,Profiling,Small_Part, NONE, Ball | Side_Milling,Slotting,Die-Sinking,Corner_Radius,Small_Part,Facing, NONE, Corner Radius |
| 날 수 | 4날 | 4날 |
| 코팅 | Y-Coating | Y-Coating |
| 공구 소재 | Carbide | Carbide |
| 직경 범위 | φ3~25mm | φ6~25mm |
| ISO | - | - |
| 피삭재 | Alloy Steels, Carbon Steels, Cast Iron, Hardened Steels(HRc40~45), Hardened Steels(HRc45~55) 외 4개 | Alloy Steels, Carbon Steels, Cast Iron, Inconel, Prehardened Steels 외 2개 |
| HRC | - | - |
[Reference: YG-1 내부 DB]
  [선택지: 다른 시리즈 비교 | 브랜드 비교 | 추천 제품 보기]
👤 사용자: Slot 가공에 Ball 형상이 어울리나요? 추천한 이유가 뭘까요? Slot 가공에 어울리는 형상은 뭐에요?
🤖 AI assistant [응답 👎]: YG-1 주요 수상: 2024.11 기술혁신상 (TitaNox-Power HPC) — 한국기계가공학회 / 2018.06 대한민국 일자리 으뜸기업 대통령표창 / 2015.12 EY 올해의 최고 기업가상 / 2013.12 세계일류상품 인증 — 산업부 / 2012.04 World Class 300 / 대통령상</t>
  </si>
  <si>
    <t>🎯 의도: Slot 가공에 맞는 형상과 추천 근거를 확인
✅ 정답 행동: Ball 형상이 Slot에 적합한지 명확히 답하고, Slotting에는 일반적으로 Corner Radius 또는 Square 계열이 더 적합하다고 설명했어야 합니다. 왜 GMG55를 추천했는지 형상/가공 적합성 기준으로 근거를 제시하고, 필요하면 대안 제품도 함께 안내했어야 합니다.
⚠️ 당시 문제: 제품 추천과 무관한 수상 이력이 답변되어 질문에 답하지 못함
💬 코멘트 분석: 추천 근거와 Slot 가공에 맞는 형상 설명이 부족하다는 점이 핵심 불만</t>
  </si>
  <si>
    <t>최종 평가: 👎 / 응답: 👍5 👎1 총 6개 응답 / 선택지: 👍4 👎1</t>
  </si>
  <si>
    <t>tf-evt-mn4vtthr-nw136966</t>
  </si>
  <si>
    <t>RLH-0159</t>
  </si>
  <si>
    <t>슬롯가공 형상·치형 적합성 재질문, 답변 오류 발생</t>
  </si>
  <si>
    <t>🧭 초기 조건: 문의 목적=신규 제품 추천 / 피삭재 (소재)=티타늄 / 가공 형상=Slotting / 가공 방식=Milling / 공구 직경=10mm
🤖 AI assistant [응답 👍] [선택지 👍]: 티타늄 소재, 슬로팅 가공, φ10mm 조건으로 353개 제품이 매칭됩니다. 티타늄 중에서도 세부 소재를 선택해주시면 더 정확한 추천이 가능합니다. 어떤 소재인가요?
[내열합금 | 니켈 기반 내열합금 | 인코넬 | 철 기반 내열합금 | 코발트 기반 내열합금 | 티타늄 | 티타늄 합금 | 티타늄강 | 상관없음]
  [선택지: 내열합금 | 니켈 기반 내열합금 | 인코넬 | 철 기반 내열합금 | 코발트 기반 내열합금 …]
👤 사용자: 상관없음
🤖 AI assistant [응답 👍] [선택지 👎]: 알겠습니다. 코팅 선호는 있으신가요? (예: TiAlN, DLC, 무코팅 등)
  [선택지: 4날 (200개) | 6날 (51개) | 3날 (41개) | 5날 (32개) | 상관없음 …]
👤 사용자: 4날 (200개)
🤖 AI assistant [응답 👍] [선택지 👍]: 4날로 200개까지 좁혔습니다. 코팅 종류 선호가 있으신가요? 현재 후보 중에 Y-Coating(티타늄 특화), K2(범용 고경도), TiAlN(내열성) 등이 있습니다.
  [선택지: Y-Coating (71개) | TiAlN (57개) | AlTiN (33개) | T-Coating (31개) | 상관없음 …]
👤 사용자: Y-Coating (71개)
🤖 AI assistant [응답 👍] [선택지 👍]: 티타늄 슬롯팅 가공용으로 **V7 PLUS GMG55100**을 추천드립니다.
**추천 근거:**
1. **티타늄(S군) 전용 최적화** - GMG55 시리즈는 난삭재 가공에 특화된 4날 엔드밀로, Y-Coating이 티타늄 가공 시 공구 수명을 극대화합니다.
2. **슬롯팅 전용 설계** - 요청하신 10mm 직경, 4날 구성으로 측면 절입 시 진동을 최소화하며 칩 배출이 원활합니다.
3. **범용성** - H/K/M/P/S 소재군 전체 대응 가능하여 다품종 가공에도 활용할 수 있습니다.
**대안 제품:**
- **GMG40100** (TitaNox-Power): M/P/S 소재 전문. 티타늄만 집중 가공한다면 이쪽이 공구비 대비 효율적일 수 있습니다.
- **GMF63100** (V7 PLUS): GMG55와 동일 스펙이나 시리즈 차이. 재고 상황에 따라 선택 가능합니다.
**주의사항:**
- 절삭조건(Vc, fz) 데이터가 없어 초기 가공 시 보수적으로 시작 권장. 기술지원(032-526-0909) 문의 추천.
- 납기 정보 미확인. 긴급 시 재고 확인 필요.
📋 **Reference:**
- 제품 스펙: YG-1 내부 DB (카탈로그 데이터)
- 재고 정보: YG-1 내부 DB
- 절삭조건: 정보 없음 (기술지원 문의 필요)
  [선택지: 대체 후보 4개 비교하기 | 절삭조건 알려줘 | 왜 이 제품을 추천했나요? | 다른 코팅 옵션 보기]
👤 사용자: GMG55 시리즈와 GMG40 시리즈의 차이점?
🤖 AI assistant [응답 👍] [선택지 👍]: GMG55와 GMG40의 가장 큰 차이는 형상으로, GMG55는 Ball 엔드밀이고 GMG40은 Corner Radius 엔드밀입니다. GMG55는 V7 PLUS 브랜드의 볼 형상으로 측면 가공, 프로파일링, 소형 부품 가공에 적합하며 직경 φ3~25mm로 소경부터 제공되고, GMG40은 TITANOX-POWER 브랜드의 코너 R 형상으로 측면 가공, 슬롯팅, 금형 가공, 페이싱까지 다양한 작업이 가능하며 직경은 φ6~25mm부터 시작합니다. 두 제품 모두 4날, 다중 헬릭스 설계로 진동을 억제하지만, GMG40은 Double Core 구조로 강성과 칩 배출이
GMG55 vs GMG40 시리즈를 내부 DB 기준으로 비교했습니다.
| 항목 | GMG55 | GMG40 |
| --- | --- | --- |
| 브랜드 | V7 PLUS | TITANOX-POWER |
| 설명 | V7 PLUS 4 Flute&lt;br/&gt;Multiple Helix Regular&lt;br/&gt;Ball End mill | TitaNox-Power 4 Flute&lt;br/&gt;Multiple Helix Double Core&lt;br/&gt;Corner Radius End mill |
| 주요 feature | ▶ Special flute geometry and multiple helix eliminate vibrations&lt;br/&gt;&lt;br/&gt;▶ Excellent performance for Stainless Steels, Mild Steels, Cast Iron, Low/Medium hardness materials under HRc40 | ▶ Double Core E/M has a Unique Flute Design for excellent chip evacuation and higher rigidity&lt;br/&gt;&lt;br/&gt;▶ The double core adds stability and aids chip flow, reducing tool deflection, improving&lt;br/&gt;dimensional stability and workpiece accuracy |
| 공구 타입 | Solid | Solid |
| 형상 | Side_Milling,Profiling,Small_Part, NONE, Ball | Side_Milling,Slotting,Die-Sinking,Corner_Radius,Small_Part,Facing, NONE, Corner Radius |
| 날 수 | 4날 | 4날 |
| 코팅 | Y-Coating | Y-Coating |
| 공구 소재 | Carbide | Carbide |
| 직경 범위 | φ3~25mm | φ6~25mm |
| ISO | - | - |
| 피삭재 | Alloy Steels, Carbon Steels, Cast Iron, Hardened Steels(HRc40~45), Hardened Steels(HRc45~55) 외 4개 | Alloy Steels, Carbon Steels, Cast Iron, Inconel, Prehardened Steels 외 2개 |
| HRC | - | - |
[Reference: YG-1 내부 DB]
  [선택지: 다른 시리즈 비교 | 브랜드 비교 | 추천 제품 보기]
👤 사용자: Slot 가공에 Ball 형상이 어울리나요? 추천한 이유가 뭘까요? Slot 가공에 어울리는 형상은 뭐에요?
🤖 AI assistant [응답 👎]: YG-1 주요 수상: 2024.11 기술혁신상 (TitaNox-Power HPC) — 한국기계가공학회 / 2018.06 대한민국 일자리 으뜸기업 대통령표창 / 2015.12 EY 올해의 최고 기업가상 / 2013.12 세계일류상품 인증 — 산업부 / 2012.04 World Class 300 / 대통령상
👤 사용자: Slot 가공에 맞는 end teeth는 뭡니까?
🤖 AI assistant [응답 👎] [선택지 👎]: Slot 가공(홈 가공)에 적합한 end teeth(엔드 치형) 구조에 대해 설명드리겠습니다.
**Slot 가공에 적합한 End Teeth:**
1. **Center Cutting (센터 컷팅)**
 - Slot 가공의 가장 중요한 조건은 **중심 절삭 능력**입니다
 - 공구 중심부까지 날이 있어 직접 소재에 수직 진입(plunging) 가능
 - 대부분의 4날 이상 엔드밀은 센터 컷팅 구조
2. **날수에 따른 특성:**
 - **2날**: 칩 배출 공간이 넓어 깊은 슬롯 가공에 유리, 강성은 다소 낮음
 - **4날**: 가장 범용적, 절삭력 분산과 칩 배출 균형이 좋음 (현재 선택된 옵션)
 - **다날(6날 이상)**: 얕은 슬롯, 고속 가공에 유리하지만 칩 배출이 불리
3. **엔드 형상:**
 - **Flat(Square) End**: 평평한 바닥면의 슬롯 가공에 최적
 - **Stub Length**: 짧은 날 길이로 강성 확보, 진동 최소화
**현재 선택된 4날 + Y-Coating 조합**은 일반적인 슬롯 가공에 매우 적합한 선택입니다.
현재 71개의 추천 제품이 준비되어 있습니다. 구체적인 제품을 확인하시겠습니까?
[Reference: AI 지식 추론 + YG-1 내부 DB]
  [선택지: ⟵ 이전 단계 | 처음부터 다시]</t>
  </si>
  <si>
    <t>🎯 의도: Slot 가공에 맞는 형상/엔드치형이 무엇인지 확인
✅ 정답 행동: Slot 가공에 적합한 형상은 보통 Flat/Square 계열이며, 중심절삭(center cutting) 가능 여부와 칩 배출성, 날수(2~4날)를 기준으로 설명해야 함. 현재 추천된 Ball 형상이 왜 부적합한지 바로 짚고, 사용 조건에 맞는 대안 형상을 제시해야 함.
⚠️ 당시 문제: 슬롯가공 질문에 무관한 수상/회사 홍보로 답변함
💬 코멘트 분석: 사용자는 Slot 가공에 맞는 형상과 end teeth 기준을 알고 싶었음</t>
  </si>
  <si>
    <t>최종 평가: 👎 / 응답: 👍5 👎2 총 7개 응답 / 선택지: 👍4 👎2</t>
  </si>
  <si>
    <t>tf-evt-mn4vw4nf-055cirdv</t>
  </si>
  <si>
    <t>RLH-0160</t>
  </si>
  <si>
    <t>티타늄 10mm 슬롯용 4날 Y-Coating 제품 추천 요청</t>
  </si>
  <si>
    <t>🧭 초기 조건: 문의 목적=신규 제품 추천 / 피삭재 (소재)=티타늄 / 가공 형상=Slotting / 가공 방식=Milling / 공구 직경=10mm
🤖 AI assistant [응답 👎] [선택지 👎]: 티타늄 소재를 10mm 엔드밀로 슬로팅 가공하시는군요. 현재 353개 제품이 매칭됩니다.
티타늄 중에서도 구체적으로 어떤 소재인가요? 티타늄 합금(Ti-6Al-4V 등)인지, 순티타늄인지 알려주시면 더 정확히 추천드릴 수 있습니다.
  [선택지: 내열합금 | 니켈 기반 내열합금 | 인코넬 | 철 기반 내열합금 | 코발트 기반 내열합금 …]
👤 사용자: 상관없음
🤖 AI assistant [응답 👍] [선택지 👎]: 알겠습니다. 코팅은 어떤 것을 선호하시나요? (Y-Coating, TiAlN, 무코팅 등)
  [선택지: 4날 (200개) | 6날 (51개) | 3날 (41개) | 5날 (32개) | 상관없음 …]
👤 사용자: 4날 (200개)
🤖 AI assistant [응답 👍] [선택지 👍]: 4날로 200개까지 좁혔습니다.
코팅 종류 선호가 있으신가요? 후보 중에 Y-Coating(범용), K2(고속 가능), TiAlN(내열성 우수) 등이 있습니다.
  [선택지: Y-Coating (71개) | TiAlN (57개) | AlTiN (33개) | T-Coating (31개) | 상관없음 …]
👤 사용자: Y-Coating (71개)
🤖 AI assistant [응답 👎] [선택지 👎]: 티타늄 슬로팅 가공용으로 **V7 PLUS GMG55100**을 추천드립니다.
**추천 근거:**
1. **티타늄(S군) 전용 설계** - 소재 적합성이 가장 중요한 조건으로, GMG55 시리즈는 H/K/M/P/S 소재군 전방위 대응이 가능하며 특히 난삭재인 티타늄에 최적화되어 있습니다.
2. **슬로팅 특화 4날 구조** - 요청하신 슬로팅 가공에 최적인 4날 설계로, Y-Coating 처리로 내마모성과 칩 배출성이 우수합니다.
3. **즉시 출고 가능** - 재고 확보(instock) 상태로 바로 사용 가능합니다.
**대안 제품:**
- **GMG40100 (TitaNox-Power)** - M/P/S군 특화 제품으로, 티타늄 전용 최적화가 필요한 경우 고려 가능합니다. GMG55 대비 소재 범위는 좁지만 티타늄에 더 집중된 설계입니다.
- **GMF63100 (V7 PLUS)** - GMG55와 동일한 V7 PLUS 라인이지만 GMF63 시리즈로, 가공 조건에 따라 선택 가능합니다.
**참고사항:**
- 절삭조건(Vc, fz, ap, ae) 데이터는 현재 확인되지 않습니다. 최적 가공조건은 YG-1 기술지원팀(032-526-0909)에 문의하시거나 온라인(oos.yg1.solutions)에서 확인하세요.
- 납기 정보는 확인되지 않으나, 재고 보유 중이므로 즉시 출고 가능합니다.
📋 **Reference:**
- 제품 스펙: YG-1 내부 DB (카탈로그 데이터)
- 재고 정보: YG-1 내부 DB
- 절삭조건: 정보 없음 (기술지원팀 문의 필요)
  [선택지: 대체 후보 4개 비교하기 | 절삭조건 알려줘 | 왜 이 제품을 추천했나요? | 다른 코팅 옵션 보기]</t>
  </si>
  <si>
    <t>🎯 의도: 티타늄 소재 10mm 슬롯 가공용 엔드밀 추천
✅ 정답 행동: 티타늄/슬로팅/10mm/4날/Y-Coating 조건에 맞는 후보만 다시 추려 제시하고, 각 제품의 차이점과 선택 기준을 짧게 설명해야 함. 재고·납기·절삭조건이 불명확하면 확인 필요를 명시하고, 근거 없는 전용/최적화 표현은 피해야 함.
⚠️ 당시 문제: 티타늄 전용 최적화 등 근거가 불충분한 설명과, 선택지 품질이 낮아 실제 추천 흐름이 흔들림.
💬 코멘트 분석: 최종 평가는 좋지 않았고, 응답과 선택지 모두 정확도/적합성이 부족하다는 신호임</t>
  </si>
  <si>
    <t>최종 평가: 👎 / 응답: 👍2 👎2 총 4개 응답 / 선택지: 👍1 👎3</t>
  </si>
  <si>
    <t>tf-evt-mn4xlrlh-gxhwx9pg</t>
  </si>
  <si>
    <t>RLH-0161</t>
  </si>
  <si>
    <t>스테인리스 10mm 정삭용 X코팅 공구 추천 요청</t>
  </si>
  <si>
    <t>🧭 초기 조건: 문의 목적=신규 제품 추천 / 피삭재 (소재)=스테인리스 / 가공 형상=Side_Milling / 가공 방식=Milling / 공구 직경=10mm
🤖 AI assistant [응답 👎] [선택지 👎]: 스테인리스 소재, 10mm 직경으로 사이드 밀링 가공하실 제품이 현재 300개 정도 있습니다.
스테인리스 중에서도 어떤 종류인가요? (일반 스테인리스강, 300계열, 400계열, PH강 등)
  [선택지: 스테인레스강 | 스테인레스강 300 | 스테인레스강 400 | 스테인레스강(PH) | 티타늄 …]
👤 사용자: 상관없음
🤖 AI assistant [응답 👎] [선택지 👎]: 코팅 종류 선호가 있으신가요? 후보 중에 X-Coating, TiAlN, Bright Finish 등이 있습니다.
  [선택지: Y-Coating (90개) | Bright Finish (79개) | X-Coating (47개) | AlTiN (35개) | 상관없음 …]
👤 사용자: X-코팅 제품으로 날장이 10mm 이상인 제품 추천해주세요
🤖 AI assistant [응답 👎] [선택지 👎]: X-코팅 제품으로 날장 10mm 이상 조건으로 47개 제품을 찾았습니다.
추천 상위 3개:
1. **GAE53100** (X-SPEED ROUGHER) - 황삭 가공에 최적화, 빠른 재료 제거
2. **GAD52100** (TANK-POWER) - 범용 가공, 안정적인 절삭
3. **GAC25100N** (TANK-POWER) - 정밀 가공 및 마무리에 적합
스테인리스 가공 목적이 황삭인가요, 정삭인가요? 그에 따라 최적 제품을 좁혀드리겠습니다.
  [선택지: Roughing (24개) | Square (15개) | Drill Mill (8개) | 상관없음 | ⟵ 이전 단계]
👤 사용자: 정삭이요
🤖 AI assistant [응답 👎] [선택지 👎]: **스테인리스 측면 가공용으로 TANK-POWER GAC25100N을 추천드립니다.**
**추천 근거:**
- 직경 10mm 정확 일치 + X-Coating으로 스테인리스(M군) 가공에 최적화
- 4날 스퀘어 엔드밀로 측면 가공(Side Milling) 및 슬로팅 작업 모두 가능
- 현재 재고 보유 중으로 즉시 출고 가능
**대안 비교:**
- **GAC25100AN**: GAC25100N과 동일 스펙, 넥 형상 차이만 있음 (작업 여유 공간 좁으면 고려)
- **GA932100N**: 같은 TANK-POWER 라인, 날당이송·절입깊이 조건 다를 수 있어 현장 테스트 권장
**주의사항:**
- 절삭조건(Vc, fz 등) 정보 없음 → 카탈로그 확인 또는 기술지원팀(032-526-0909) 문의 필요
- 납기 정보 미제공 (재고 있어도 확인 권장)
---
📋 **Reference:** 
- 제품 스펙·재고: YG-1 내부 DB 
- 절삭조건: 정보 없음 (카탈로그 확인 필요)
  [선택지: 대체 후보 4개 비교하기 | 절삭조건 알려줘 | 왜 이 제품을 추천했나요? | 다른 코팅 옵션 보기]</t>
  </si>
  <si>
    <t>🎯 의도: 스테인리스 측면 정삭에 맞는 10mm X-코팅 공구 추천
✅ 정답 행동: 조건(스테인리스, Side Milling, Milling, 10mm, X-코팅, 날장 10mm 이상, 정삭)에 맞는 후보만 다시 필터링해 재추천해야 함. 재고/납기와 함께 정삭 적합성, 형상(사이드 밀링 가능 여부), 날장 조건을 명확히 확인해 1~3개 제품을 제시했어야 함.
⚠️ 당시 문제: 정삭인데도 황삭용 후보를 포함해 추천했고, 사용자 조건 반영이 부정확함
💬 코멘트 분석: 최종 추천이 사용자 의도와 맞지 않고 응답/선택지 모두 부정확했다는 불만이 핵심</t>
  </si>
  <si>
    <t>최종 평가: 👎 / 응답: 👎4 총 4개 응답 / 선택지: 👎4</t>
  </si>
  <si>
    <t>tf-evt-mn5aa4u9-gj61ia2f</t>
  </si>
  <si>
    <t>RLH-0162</t>
  </si>
  <si>
    <t>공장 위치 문의에 국내 공장 5곳 안내</t>
  </si>
  <si>
    <t>🧭 초기 조건: 문의 목적=신규 제품 추천 / 피삭재 (소재)=스테인리스 / 가공 형상=Side_Milling / 가공 방식=Milling / 공구 직경=10mm
🤖 AI assistant [응답 👎] [선택지 👎]: 스테인리스 소재, 10mm 직경으로 사이드 밀링 가공하실 제품이 현재 300개 정도 있습니다.
스테인리스 중에서도 어떤 종류인가요? (일반 스테인리스강, 300계열, 400계열, PH강 등)
  [선택지: 스테인레스강 | 스테인레스강 300 | 스테인레스강 400 | 스테인레스강(PH) | 티타늄 …]
👤 사용자: 상관없음
🤖 AI assistant [응답 👎] [선택지 👎]: 코팅 종류 선호가 있으신가요? 후보 중에 X-Coating, TiAlN, Bright Finish 등이 있습니다.
  [선택지: Y-Coating (90개) | Bright Finish (79개) | X-Coating (47개) | AlTiN (35개) | 상관없음 …]
👤 사용자: X-코팅 제품으로 날장이 10mm 이상인 제품 추천해주세요
🤖 AI assistant [응답 👎] [선택지 👎]: X-코팅 제품으로 날장 10mm 이상 조건으로 47개 제품을 찾았습니다.
추천 상위 3개:
1. **GAE53100** (X-SPEED ROUGHER) - 황삭 가공에 최적화, 빠른 재료 제거
2. **GAD52100** (TANK-POWER) - 범용 가공, 안정적인 절삭
3. **GAC25100N** (TANK-POWER) - 정밀 가공 및 마무리에 적합
스테인리스 가공 목적이 황삭인가요, 정삭인가요? 그에 따라 최적 제품을 좁혀드리겠습니다.
  [선택지: Roughing (24개) | Square (15개) | Drill Mill (8개) | 상관없음 | ⟵ 이전 단계]
👤 사용자: 정삭이요
🤖 AI assistant [응답 👎] [선택지 👎]: **스테인리스 측면 가공용으로 TANK-POWER GAC25100N을 추천드립니다.**
**추천 근거:**
- 직경 10mm 정확 일치 + X-Coating으로 스테인리스(M군) 가공에 최적화
- 4날 스퀘어 엔드밀로 측면 가공(Side Milling) 및 슬로팅 작업 모두 가능
- 현재 재고 보유 중으로 즉시 출고 가능
**대안 비교:**
- **GAC25100AN**: GAC25100N과 동일 스펙, 넥 형상 차이만 있음 (작업 여유 공간 좁으면 고려)
- **GA932100N**: 같은 TANK-POWER 라인, 날당이송·절입깊이 조건 다를 수 있어 현장 테스트 권장
**주의사항:**
- 절삭조건(Vc, fz 등) 정보 없음 → 카탈로그 확인 또는 기술지원팀(032-526-0909) 문의 필요
- 납기 정보 미제공 (재고 있어도 확인 권장)
---
📋 **Reference:** 
- 제품 스펙·재고: YG-1 내부 DB 
- 절삭조건: 정보 없음 (카탈로그 확인 필요)
  [선택지: 대체 후보 4개 비교하기 | 절삭조건 알려줘 | 왜 이 제품을 추천했나요? | 다른 코팅 옵션 보기]
👤 사용자: 우리 영업소 정보좀 알려주세요
🤖 AI assistant [응답 👍] [선택지 👍]: YG-1의 국내 영업소는 다음 5곳입니다:
- **서울**: 02-2681-3456
- **대구**: 053-600-8909
- **천안**: 041-417-0985
- **부산**: 051-314-0985
- **창원**: 055-275-0985
더 자세한 정보가 필요하시면 본사(032-526-0909)에 문의해 주세요.
  [선택지: 대체 후보 4개 비교하기 | 절삭조건 알려줘 | 왜 이 제품을 추천했나요? | 다른 코팅 옵션 보기]
👤 사용자: 공장은 어디 있나요?
🤖 AI assistant [응답 👎]: YG-1 국내 공장은 총 5곳: 인천본공장(인천광역시), 부평공장(인천광역시), 서운공장(인천광역시), 광주공장(광주광역시), 충주공장(충청북도). ❌ 익산공장 없음, 안산공장 현재 없음.</t>
  </si>
  <si>
    <t>🎯 의도: YG-1의 공장 위치를 알고 싶었음
✅ 정답 행동: 국내 공장 위치를 정확히 안내하고, 필요 시 각 공장의 상세 주소나 대표 연락처를 추가로 제공했어야 함. 사용자가 직전엔 영업소를 물었으므로 영업소와 공장 정보를 혼동하지 않도록 구분해서 답변해야 함.
⚠️ 당시 문제: 특이사항 없음
💬 코멘트 분석: 공장 위치가 맞는지 확인하려는 문의로, 불필요한 오답 여부 없이 정확한 공장 정보 요청이 핵심</t>
  </si>
  <si>
    <t>최종 평가: 👎 / 응답: 👍1 👎5 총 6개 응답 / 선택지: 👍1 👎4</t>
  </si>
  <si>
    <t>tf-evt-mn5anumd-d6cwh9pt</t>
  </si>
  <si>
    <t>RLH-0163</t>
  </si>
  <si>
    <t>사우디 공장 여부와 사업장 정보 확인 요청</t>
  </si>
  <si>
    <t>🧭 초기 조건: 문의 목적=신규 제품 추천 / 피삭재 (소재)=스테인리스 / 가공 형상=Side_Milling / 가공 방식=Milling / 공구 직경=10mm
🤖 AI assistant [응답 👎] [선택지 👎]: 스테인리스 소재, 10mm 직경으로 사이드 밀링 가공하실 제품이 현재 300개 정도 있습니다.
스테인리스 중에서도 어떤 종류인가요? (일반 스테인리스강, 300계열, 400계열, PH강 등)
  [선택지: 스테인레스강 | 스테인레스강 300 | 스테인레스강 400 | 스테인레스강(PH) | 티타늄 …]
👤 사용자: 상관없음
🤖 AI assistant [응답 👎] [선택지 👎]: 코팅 종류 선호가 있으신가요? 후보 중에 X-Coating, TiAlN, Bright Finish 등이 있습니다.
  [선택지: Y-Coating (90개) | Bright Finish (79개) | X-Coating (47개) | AlTiN (35개) | 상관없음 …]
👤 사용자: X-코팅 제품으로 날장이 10mm 이상인 제품 추천해주세요
🤖 AI assistant [응답 👎] [선택지 👎]: X-코팅 제품으로 날장 10mm 이상 조건으로 47개 제품을 찾았습니다.
추천 상위 3개:
1. **GAE53100** (X-SPEED ROUGHER) - 황삭 가공에 최적화, 빠른 재료 제거
2. **GAD52100** (TANK-POWER) - 범용 가공, 안정적인 절삭
3. **GAC25100N** (TANK-POWER) - 정밀 가공 및 마무리에 적합
스테인리스 가공 목적이 황삭인가요, 정삭인가요? 그에 따라 최적 제품을 좁혀드리겠습니다.
  [선택지: Roughing (24개) | Square (15개) | Drill Mill (8개) | 상관없음 | ⟵ 이전 단계]
👤 사용자: 정삭이요
🤖 AI assistant [응답 👎] [선택지 👎]: **스테인리스 측면 가공용으로 TANK-POWER GAC25100N을 추천드립니다.**
**추천 근거:**
- 직경 10mm 정확 일치 + X-Coating으로 스테인리스(M군) 가공에 최적화
- 4날 스퀘어 엔드밀로 측면 가공(Side Milling) 및 슬로팅 작업 모두 가능
- 현재 재고 보유 중으로 즉시 출고 가능
**대안 비교:**
- **GAC25100AN**: GAC25100N과 동일 스펙, 넥 형상 차이만 있음 (작업 여유 공간 좁으면 고려)
- **GA932100N**: 같은 TANK-POWER 라인, 날당이송·절입깊이 조건 다를 수 있어 현장 테스트 권장
**주의사항:**
- 절삭조건(Vc, fz 등) 정보 없음 → 카탈로그 확인 또는 기술지원팀(032-526-0909) 문의 필요
- 납기 정보 미제공 (재고 있어도 확인 권장)
---
📋 **Reference:** 
- 제품 스펙·재고: YG-1 내부 DB 
- 절삭조건: 정보 없음 (카탈로그 확인 필요)
  [선택지: 대체 후보 4개 비교하기 | 절삭조건 알려줘 | 왜 이 제품을 추천했나요? | 다른 코팅 옵션 보기]
👤 사용자: 우리 영업소 정보좀 알려주세요
🤖 AI assistant [응답 👍] [선택지 👍]: YG-1의 국내 영업소는 다음 5곳입니다:
- **서울**: 02-2681-3456
- **대구**: 053-600-8909
- **천안**: 041-417-0985
- **부산**: 051-314-0985
- **창원**: 055-275-0985
더 자세한 정보가 필요하시면 본사(032-526-0909)에 문의해 주세요.
  [선택지: 대체 후보 4개 비교하기 | 절삭조건 알려줘 | 왜 이 제품을 추천했나요? | 다른 코팅 옵션 보기]
👤 사용자: 공장은 어디 있나요?
🤖 AI assistant [응답 👎]: YG-1 국내 공장은 총 5곳: 인천본공장(인천광역시), 부평공장(인천광역시), 서운공장(인천광역시), 광주공장(광주광역시), 충주공장(충청북도). ❌ 익산공장 없음, 안산공장 현재 없음.
👤 사용자: 사우디 아라비아에도 공장 있다며?
🤖 AI assistant [응답 👎] [선택지 👎]: 확인할 수 없습니다. YG-1 본사(032-526-0909)에 문의해 주세요.
  [선택지: 쉽게 설명해줘 | 추천으로 골라줘 | 상관없음 | YG-1 국제 사업장 위치 설명해줘]</t>
  </si>
  <si>
    <t>🎯 의도: YG-1의 해외 공장/사업장 위치를 확인하고 싶음
✅ 정답 행동: 사우디 아라비아에 공장이 있는지 내부 정보로 확인해 답하고, 불확실하면 “확인 불가” 대신 본사 문의 또는 국제 사업장 안내로 자연스럽게 연결했어야 함.  
국내 공장 정보와 해외 사업장 여부를 구분해 설명했어야 함.
⚠️ 당시 문제: 해외 공장 여부에 대해 단정적으로 확인 불가만 답하고 대안 안내가 부족함
💬 코멘트 분석: 전체 7개 중 6개가 부정적이라 추천/응답 품질 전반에 불만이 큼</t>
  </si>
  <si>
    <t>최종 평가: 👎 / 응답: 👍1 👎6 총 7개 응답 / 선택지: 👍1 👎5</t>
  </si>
  <si>
    <t>tf-evt-mn5ap4on-m9lqqp4s</t>
  </si>
  <si>
    <t>RLH-0164</t>
  </si>
  <si>
    <t>티타늄 슬롯팅용 4날·Y코팅 추천 요청</t>
  </si>
  <si>
    <t>🧭 초기 조건: 문의 목적=신규 제품 추천 / 피삭재 (소재)=티타늄 / 가공 형상=Slotting / 가공 방식=Milling
🤖 AI assistant [응답 👍] [선택지 👍]: 티타늄 소재를 슬로팅 가공하시는군요. 현재 2,465개 제품이 매칭됩니다.
티타늄 중에서도 **순티타늄(Grade 2)인지, 합금(Ti-6Al-4V 등)인지** 알려주시겠어요? 아니면 "상관없음"으로 진행할까요?
  [선택지: 내열합금 | 니켈 기반 내열합금 | 인코넬 | 철 기반 내열합금 | 코발트 기반 내열합금 …]
👤 사용자: 상관없음
🤖 AI assistant [응답 👍] [선택지 👍]: 현재 2465개 후보가 있습니다. 날 수(flute) 선호가 있으신가요?
  [선택지: 4날 (799개) | 2날 (656개) | 6날 (479개) | 5날 (319개) | 상관없음 …]
👤 사용자: 4날 (799개)
🤖 AI assistant [응답 👍] [선택지 👍]: 4날로 좁혔습니다. 코팅은 어떤 걸 선호하시나요? Y-Coating(범용), K2(고경도), TiAlN(내열) 중 선택하시거나 '상관없음'이라고 하셔도 됩니다.
  [선택지: Y-Coating (368개) | TiAlN (175개) | AlTiN (118개) | T-Coating (96개) | 상관없음 …]
👤 사용자: Y-Coating (368개)
🤖 AI assistant [응답 👎] [선택지 👎]: 티타늄 슬로팅 가공용으로 **V7 PLUS A UGMG54064**를 추천드립니다.
**추천 근거:**
- 티타늄(S군) 전용 설계로 소재 매칭 정확
- 4날 구성으로 슬로팅 가공 시 칩 배출 원활
- Y-Coating 적용으로 티타늄 가공 시 공구 수명 연장
**주의사항:**
- 직경 미지정 상태로 φ25.4mm 제품 우선 추천 (작업 직경 확인 필요)
- 동일 시리즈에서 φ76.2mm(UGMG54048), φ127mm(UGMG54040) 등 다양한 직경 옵션 있음
- 재고/납기 정보 없음 → 주문 전 본사(032-526-0909) 확인 필요
**대안:**
큰 직경이 필요하면 UGMG54048(φ76.2mm) 또는 UGMG54040(φ127mm)을 검토하세요. 동일 스펙에 직경만 다릅니다.
📋 **Reference:** YG-1 내부 DB (카탈로그 스펙 데이터)
  [선택지: 대체 후보 4개 비교하기 | 절삭조건 알려줘 | 왜 이 제품을 추천했나요? | 다른 코팅 옵션 보기]</t>
  </si>
  <si>
    <t>🎯 의도: 티타늄 Slotting에 맞는 신규 제품을 추천받기
✅ 정답 행동: 사용자 조건(티타늄, Slotting, Milling, 4날, Y-Coating)에 맞는 후보를 다시 좁히고, 직경 미지정이므로 직경 선택이 필요하다고 안내한 뒤 적합한 제품 1~2개를 제시해야 함.
⚠️ 당시 문제: 티타늄 전용이라고 단정했으나 실제 추천 제품의 매칭 근거가 부정확할 수 있음
💬 코멘트 분석: 최종 평가 불만은 추천 결과 정확도에 대한 낮은 신뢰/불만</t>
  </si>
  <si>
    <t>최종 평가: 👎 / 응답: 👍3 👎1 총 4개 응답 / 선택지: 👍3 👎1</t>
  </si>
  <si>
    <t>tf-evt-mn5fs3hp-anumni5r</t>
  </si>
  <si>
    <t>RLH-0165</t>
  </si>
  <si>
    <t>알루미늄 10mm 코너라운드 추천 요청, 최종 제품 선택</t>
  </si>
  <si>
    <t>🧭 초기 조건: 문의 목적=신규 제품 추천 / 피삭재 (소재)=알루미늄 / 가공 방식=Milling / 공구 직경=10mm
🤖 AI assistant [응답 👎] [선택지 👎]: 알루미늄 소재 10mm 엔드밀 밀링 가공이시군요. 현재 424개 제품이 매칭됩니다.
알루미늄 중에서도 **연질(6061 등) / 단조 합금(7075 등) / 주조 합금(ADC12 등)** 중 어떤 종류를 가공하시나요? 소재 특성에 따라 날 형상과 코팅이 달라집니다.
  [선택지: 알루미늄 | 알루미늄 (연질) | 알루미늄 단조 합금 | 알루미늄 주조 합금 | 알루미늄 합금 …]
👤 사용자: 구리요
🤖 AI assistant [응답 👍] [선택지 👍]: "구리" 조건을 적용하면 후보가 없습니다. 현재 424개 후보에서 다른 조건을 선택해주세요.
  [선택지: 알루미늄 | 알루미늄 (연질) | 알루미늄 단조 합금 | 알루미늄 주조 합금 | 알루미늄 합금 …]
👤 사용자: Tank-power 브랜드에 대해서 설명해줘
🤖 AI assistant [응답 👍] [선택지 👍]: TANK-POWER는 YG-1의 고속 절삭용 코팅 기술이 적용된 브랜드로, 탄소강, 합금강, 스테인레스강 가공에 특화되어 높은 인성을 제공합니다. HSS 및 HSS-PM 소재 기반에 TiAlN, X-Coating 등 다양한 코팅이 적용되며, 2날부터 6날까지 다양한 날 수 구성으로 φ1~228.6mm의 넓은 직경 범위를 커버합니다. Die-Sinking, Facing, Side Milling, Slotting, Profiling 등 여러 가공 형상을 지원하며, HRC 0~35 범위의 소재 가공에 적합한 61개 시리즈로 구성되어 있습니다.
TANK-POWER 브랜드 프로필을 내부 DB에서 조회했습니다.
| 항목 | 값 |
| --- | --- |
| 브랜드 | TANK-POWER |
| 설명 | ? Designed to machine carbon steels, alloyed steels, stainless steels.&lt;br/&gt;? YG-1’s new developed TANK-POWER Coating suitable for high speed cutting. |
| 적용 소재 설명 | High Toughness for Stainless Steels, Carbon steels and Alloy Steels |
| 대표 시리즈 | E9921, E9936, E9938, E9940, E9941 외 56개 |
| 시리즈 수 | 61개 |
| 가공 타입 | Solid, undefined |
| 형상 | Die-Sinking,Facing,Side_Milling,Slotting, Die-Sinking,Facing,Side_Milling,Slotting,Small_Part, Die-Sinking,Facing,Side_Milling,Slotting,Small_Part,Trochoidal, Die-Sinking,Facing,Side_Milling,Slotting,Trochoidal, Profiling,Side_Milling 외 10개 |
| 날 수 | 2날, 3날, 4날, 5날, 6날 |
| 코팅 | Bright Finish, TiAlN, X-Coating |
| 공구 소재 | HSS, HSS-PM |
| 직경 범위 | φ1~228.6mm |
| ISO | K, M, P |
| 피삭재 | 공구강, 스테인레스강 300, 스테인레스강 400, 주철, 탄소강 외 1개 |
| HRC | 0~35 |
| 국가 | AMERICA, ASIA, EUROPE, KOREA |
| EDP 수 | 1360개 |
[Reference: YG-1 내부 DB]
  [선택지: 다른 브랜드 비교 | 시리즈 차이 보기 | 추천 제품 보기]
👤 사용자: CRX s 브랜드도 소개해주세요
🤖 AI assistant [응답 👎] [선택지 👎]: # CRX-S 브랜드 설명
**CRX-S**는 YG-1의 고성능 초경 엔드밀 시리즈입니다. 
CRX-S는 **범용 가공용**으로 설계되어 다양한 소재를 효과적으로 가공할 수 있으며, 특히 **내마모성과 인성이 우수**합니다. 
일반 강재부터 합금강, 스테인리스강 등 폭넓은 재질에 대응 가능하며, **안정적인 가공 성능과 긴 공구 수명**을 제공합니다.
현재는 후보 제품이 없지만, 이전 질문들의 조건을 조정하시거나 **"상관없음"을 선택**하시면 더 많은 제품을 확인하실 수 있습니다.
  [선택지: 쉽게 설명해줘 | 추천으로 골라줘 | 상관없음 | 다른 브랜드 비교란? | 시리즈 차이 보기란? …]
👤 사용자: Alu-power 브랜드 소개부탁
🤖 AI assistant [응답 👎] [선택지 👎]: ALU-POWER는 알루미늄 합금 가공에 특화된 YG-1의 전용 브랜드로, Bright 및 TiCN 코팅을 적용하여 거울처럼 매끄러운 표면 품질을 제공합니다. 50개의 다양한 시리즈(E5253, E5254, E5521 등)를 보유하고 있으며, 1날부터 3날까지 다양한 날 수 옵션과 φ2~177.8mm의 폭넓은 직경 범위를 제공합니다. Corner Radius, Die-Sinking, Slotting, Side Milling 등 다양한 형상으로 구성되어 있으며, 주로 알루미늄 외에도 Acrylic, 합금강, 주철 등의 소재 가공에도 활용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E5254, E5521, E5522, E5711 외 45개 |
| 시리즈 수 | 50개 |
| 가공 타입 | Solid, undefined |
| 형상 | Corner_Radius,Die-Sinking,Facing,Helical_Interpolation,Side_Milling,Slotting, Die-Sinking,Facing,Side_Milling,Slotting, Profiling,Side_Milling, Side Milling, Side_Milling,Profiling,Small_Part 외 12개 |
| 날 수 | 1날, 2날, 3날 |
| 코팅 | ALTIN, Bright Finish, TiAlN, TiCN, TiN 외 1개 |
| 공구 소재 | Carbide, HSS-PM, T15 |
| 직경 범위 | φ2~177.8mm |
| ISO | - |
| 피삭재 | Acrylic, Alloy Steels, Aluminum, Carbon Steels, Cast Iron |
| HRC | - |
| 국가 | AMERICA, ASIA, EUROPE |
| EDP 수 | 969개 |
[Reference: YG-1 내부 DB]
다시 제품 추천으로 돌아갈게요. # CRX-S 브랜드 설명
**CRX-S**는 YG-1의 고성능 초경 엔드밀 시리즈입니다. 
CRX-S는 **범용 가공용**으로 설계되어 다양한 소재를 효과적으로 가공할 수 있
  [선택지: 쉽게 설명해줘 | 추천으로 골라줘 | 상관없음 | 다른 브랜드 비교란? | 시리즈 차이 보기란? …]
👤 사용자: JAH25 시리즈의 특성 설명해줘
🤖 AI assistant [응답 👎] [선택지 👎]: JAH25 시리즈는 알루미늄 및 비철금속 전용 고속가공 엔드밀로, 3날 구성에 37도 헬릭스 각도와 코너 라운드 형상이 특징입니다. DLC 코팅이 적용되어 경면 가공이 가능하며 뛰어난 표면조도를 제공합니다. 높은 이송속도와 회전수에서도 우수한 칩 배출 성능을 발휘하며, 측면가공·슬롯가공·금형 깊은 홈 가공 등 다양한 가공에 적용 가능합니다.
JAH25 시리즈 프로필을 내부 DB에서 조회했습니다.
| 항목 | 값 |
| --- | --- |
| 시리즈 | JAH25 |
| 브랜드 | ALU-POWER HPC |
| 설명 | ALU-POWER HPC 3 Flute 37°Helix Corner Radius with Neck End mill |
| 주요 feature | Suitable for high-speed machining in aluminum and other non-ferrous materials.&lt;br/&gt;Mirror surface - Excellent surface finish.&lt;br/&gt;Excellent performance with high feed, RPM, and high chip removal. |
| 공구 타입 | Solid |
| 형상 | Side_Milling,Slotting,Die-Sinking,Corner_Radius,Small_Part,Facing,Helical_Interpolation, Corner_Radius, Corner Radius |
| 날 수 | 3날 |
| 코팅 | DLC |
| 공구 소재 | Carbide |
| 직경 범위 | φ6~20mm |
| ISO | - |
| 피삭재 | Aluminum, Copper, Non-ferrous |
| HRC | - |
| 국가 | ASIA, EUROPE |
| EDP 수 | 104개 |
[Reference: YG-1 내부 DB]
  [선택지: 다른 시리즈 비교 | 브랜드 차이 보기 | 추천 제품 보기]
👤 사용자: Corner Radius 제품 추천해줘
🤖 AI assistant [응답 👎] [선택지 👎]: 코팅 종류 선호가 있으신가요? 후보 중에 Bright Finish, DLC, X-Coating 등이 있습니다.
  [선택지: 추천으로 골라줘 | 쉽게 설명해줘 | Bright Finish (154개) | DLC (29개)란? | 상관없음]
👤 사용자: Bright Finish (154개)
🤖 AI assistant [응답 👎] [선택지 👎]: 네, Bright Finish로 좁혔습니다. 직경은 10mm로 확정할까요? 아니면 8mm, 8.5mm, 9mm, 9.5mm 중 다른 직경이 필요하신가요?
  [선택지: 8mm | 8.5mm | 9mm | 9.5mm | 10mm …]
👤 사용자: 10mm
🤖 AI assistant [응답 👎] [선택지 👎]: 알루미늄 가공용으로 ALU-CUT for Korean Market GEE8310055 (E5E83 시리즈)를 추천드립니다.
**추천 근거:**
- 요청하신 10mm 직경, Bright Finish 코팅, 알루미늄 전용(N군) 조건 모두 정확히 일치합니다
- 3날 Corner Radius 엔드밀로 코너 가공 시 표면조도 개선에 유리합니다
- 절삭조건: Vc=176m/min, fz=0.051mm/tooth, 절입깊이=0.2D (신뢰도 90%)
**대안:**
- GED74100 (E5D74 시리즈): 동일 스펙이지만 더 높은 속도(Vc=327m/min) 가능 — 생산성 우선 시 고려
- GED7210030 (E5D72 시리즈): 중간 속도(Vc=251m/min) — 범용 가공에 적합
**주의:** 재고/납기 정보는 확인되지 않으니 주문 전 본사(032-526-0909) 또는 온라인 주문 시스템(oos.yg1.solutions)에서 확인하세요.
📋 Reference: YG-1 내부 DB (카탈로그 스펙, 절삭조건 데이터)
  [선택지: 대체 후보 4개 비교하기 | 절삭조건 알려줘 | 왜 이 제품을 추천했나요? | 다른 코팅 옵션 보기]</t>
  </si>
  <si>
    <t>🎯 의도: 알루미늄 가공용 10mm Corner Radius 제품을 추천받고 싶음
✅ 정답 행동: 사용자가 선택한 조건(Bright Finish, 10mm, 알루미늄, Corner Radius)에 맞는 후보를 정확히 확인해 1개 또는 소수의 제품을 추천하고, 필요 시 대안 제품 1~2개와 간단한 차이를 함께 제시해야 함.
⚠️ 당시 문제: 특이사항 없음
💬 코멘트 분석: 최종 추천은 맞지만, 전체 응답 흐름과 선택지 품질은 불만족 평가임</t>
  </si>
  <si>
    <t>최종 평가: 👎 / 응답: 👍2 👎7 총 9개 응답 / 선택지: 👍2 👎7</t>
  </si>
  <si>
    <t>tf-evt-mn5g0okp-nbo4iypn</t>
  </si>
  <si>
    <t>RLH-0166</t>
  </si>
  <si>
    <t>티타늄 10mm 슬로팅 공구 추천 요청</t>
  </si>
  <si>
    <t>🧭 초기 조건: 문의 목적=신규 제품 추천 / 피삭재 (소재)=티타늄 / 가공 형상=Slotting / 가공 방식=Milling / 공구 직경=10mm
🤖 AI assistant [응답 👎] [선택지 👎]: 티타늄 소재에 φ10mm 슬로팅 가공이시군요. 현재 353개 제품이 매칭됩니다.
티타늄 중에서도 어떤 재질인가요? 인코넬, 티타늄 합금 같은 세부 소재를 알려주시면 더 정확하게 추천드릴게요.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
👤 사용자: 4날 (200개)
🤖 AI assistant [응답 👍] [선택지 👍]: 4날로 200개까지 줄였습니다.
티타늄 슬로팅에는 **GMG55(V7 PLUS)**나 **GMG40(TitaNox-Power)**가 적합합니다.
- GMG55: 범용성 높고 내열성 우수 (H/K/M/P/S 전 소재)
- GMG40: 티타늄 특화 설계, 절삭유 적용 시 안정적
코팅 선호가 있으신가요? (Y-Coating, K2, TiAlN 등)
  [선택지: Y-Coating (71개) | TiAlN (57개) | AlTiN (33개) | T-Coating (31개) | 상관없음 …]
👤 사용자: Y-Coating (71개)
🤖 AI assistant [응답 👎] [선택지 👎]: 티타늄 10mm 슬로팅 가공용으로 **V7 PLUS GMG55100**을 추천드립니다.
**추천 근거:**
- **소재 최적화**: S군(티타늄) 전용 설계로 고온 강도와 인성이 우수합니다
- **슬로팅 특화**: 4날 구조로 칩 배출이 원활하고, Y-Coating이 공구 수명을 연장합니다
- **범용성**: H/K/M/P/S 전 소재군 대응 가능해 다른 작업에도 활용도가 높습니다
**대안 검토:**
- **GMG40100 (TitaNox-Power)**: M/P/S 소재 전용으로 티타늄 특화 설계. 범용성은 낮지만 티타늄 전용 작업이라면 더 적합할 수 있습니다
- GMF63 시리즈(#6~10): V7 PLUS 라인으로 GMG55와 동급 성능입니다
**주의사항:**
- 절삭조건(Vc, fz) 데이터가 없어 초기 테스트 후 조정이 필요합니다
- 납기 정보 미확인 상태이므로 긴급한 경우 재고 확인(032-526-0909)을 권장합니다
📋 **Reference:** YG-1 내부 DB (카탈로그 스펙, 재고 정보)
  [선택지: 대체 후보 4개 비교하기 | 절삭조건 알려줘 | 왜 이 제품을 추천했나요? | 다른 코팅 옵션 보기]</t>
  </si>
  <si>
    <t>🎯 의도: 티타늄 φ10mm 슬롯 밀링에 맞는 제품 추천
✅ 정답 행동: 초기 조건(티타늄, Slotting, Milling, 10mm, 4날, Y-Coating)을 모두 반영해 후보를 좁힌 뒤, 실제로는 GMG40100과 GMG55 계열을 비교하며 더 적합한 1개를 명확히 추천해야 함. 불필요한 과장 없이 추천 근거와 함께 대안/추가 확인사항을 간단히 안내해야 함.
⚠️ 당시 문제: 티타늄 특화 후보와 범용 후보를 혼용해 추천의 일관성이 부족했고, 사용자가 선택한 Y-Coating 기준에 맞는 최종 단일 추천이 다소 모호했다.
💬 코멘트 분석: 최종 추천 정확도는 아쉽고, 응답 4개 중 2개만 만족했다는 평가다.</t>
  </si>
  <si>
    <t>최종 평가: 👎 / 응답: 👍2 👎2 총 4개 응답 / 선택지: 👍2 👎2</t>
  </si>
  <si>
    <t>tf-evt-mn5h9a2y-q9xn59nf</t>
  </si>
  <si>
    <t>RLH-0167</t>
  </si>
  <si>
    <t>GMG55100과 GMG40100 차이 문의, 비교 답변 오류</t>
  </si>
  <si>
    <t>🧭 초기 조건: 문의 목적=신규 제품 추천 / 피삭재 (소재)=티타늄 / 가공 형상=Slotting / 가공 방식=Milling / 공구 직경=10mm
🤖 AI assistant [응답 👍] [선택지 👍]: 티타늄 소재 10mm 슬로팅 가공이시군요. 현재 353개 제품이 매칭됩니다.
티타늄 중에서도 **순티타늄인지, 티타늄 합금(Ti-6Al-4V 등)인지, 아니면 인코넬 같은 내열합금**인지 알려주시면 더 정확한 추천이 가능합니다.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
👤 사용자: 4날 (200개)
🤖 AI assistant [응답 👍] [선택지 👍]: 4날로 좁혔습니다. 코팅은 어떤 걸로 하시겠어요? Y-Coating(범용성 좋음), K2(내열성 강함), TiAlN(경제적) 중에 선호하시는 게 있으신가요?
  [선택지: Y-Coating (71개) | TiAlN (57개) | AlTiN (33개) | T-Coating (31개) | 상관없음 …]
👤 사용자: Y-Coating (71개)
🤖 AI assistant [응답 👍] [선택지 👍]: 티타늄 슬로팅 가공용으로 **V7 PLUS GMG55100**을 추천드립니다.
**추천 근거:**
1. **티타늄(S군) 전용 설계** - Y-Coating과 4날 구성으로 난삭재 가공에 최적화
2. **슬로팅 가공 특화** - 요청하신 가공 방식과 정확히 일치
3. **범용성** - H/K/M/P/S 전 소재군 대응 가능해 향후 다른 소재 가공 시에도 활용 가능
**대안 비교:**
- **GMG40100 (TitaNox-Power)**: M/P/S 소재 전용으로 티타늄에 더 특화된 옵션. 범용성은 낮지만 티타늄만 가공한다면 고려 가치 있음
- **GMF63100 (V7 PLUS)**: GMG55와 동일 시리즈지만 형상 차이. 슬로팅에는 GMG55가 더 적합
**주의사항:**
- 절삭조건(Vc, fz) 정보 없음 - 초기 가공 시 보수적인 조건에서 시작 권장
- 납기 정보 없음 - 급하시면 재고 확인 필요 (032-526-0909)
현재 재고 보유 중입니다.
📋 **Reference:** YG-1 내부 DB (카탈로그 스펙, 재고 데이터)
  [선택지: 대체 후보 4개 비교하기 | 절삭조건 알려줘 | 왜 이 제품을 추천했나요? | 다른 코팅 옵션 보기]
👤 사용자: GMG55100 과 GMG40100 의 차이는 뭔가요?
🤖 AI assistant [응답 👎] [선택지 👎]: # YG-1 절삭공구 비교 분석
## 제품 비교표
| 비교 항목 | GMG55100 (V7 PLUS) | GMG40100 (TitaNox-Power) |
|---------|-------------------|------------------------|
| **제품코드** | GMG55100 | GMG40100 |
| **시리즈** | GMG55 | GMG40 |
| **브랜드** | V7 PLUS | TitaNox-Power |
| **엔드밀 형상** | 볼엔드밀 (Ball End mill) | 코너R 엔드밀 (Corner Radius) |
| **직경** | 10mm | 10mm |
| **날수** | 4날 | 4날 |
| **헬릭스** | Multiple Helix Regular | Multiple Helix Double Core |
| **코팅** | Y-Coating | Y-Coating |
| **적용 소재** | H, K, M, P, S (5종) | M, P, S (3종) |
| **매칭 점수** | exact (100점) | exact (100점) |
| **재고** | 53개 | 509개 |
| **절삭조건** | 없음 | 없음 |
---
## 제품별 특징
### GMG55100 (V7 PLUS)
**강점:** 볼엔드밀로 3D 곡면 가공에 최적화, 고경도강(H)과 주철(K)까지 폭넓은 소재 대응 (5종 소재) 
**약점:** 상대적으로 재고량이 적음 (53개), 코너 가공 시 볼 형상으로 인한 절삭 저항 증가
### GMG40100 (TitaNox-Power)
**강점:** Double Core 구조로 강성 우수, 코너R 형상으로 코너부 강도 향상, 풍부한 재고량 (509개) 
**약점:** 적용 소재가 M, P, S 3종으로 제한적, 곡면 가공에는 부적합
---
## 추천 용도
**GMG55100 (V7 PLUS) 추천 상황:**
- 3D 곡면 가공, 금형 다듬질, 자유 곡면 가공
- 고경도강(H), 주철(K) 포함 다양한 소재 가공
- 복잡한 형상의 정밀 가공
**GMG40100 (TitaNox-Power) 추천 상황:**
- 2.5D 가공, 포켓 가공, 평면·측면 가공
- 코너부 강도가 중요한 고속/고능률 가공
- 스테인리스(M), 일반강(
  [선택지: 추천해주세요 | 다른 조건으로 | ⟵ 이전 단계 | 처음부터 다시]</t>
  </si>
  <si>
    <t>🎯 의도: GMG55100과 GMG40100의 정확한 차이를 알고 싶음
✅ 정답 행동: 두 제품의 실제 스펙을 기준으로 형상, 적용 가공, 소재 대응, 코팅, 재고를 정확히 비교해 설명해야 함. 특히 제품 형상을 잘못 안내하지 말고, 모르는 항목은 확인 필요하다고 밝혀야 함.
⚠️ 당시 문제: GMG55100을 볼엔드밀, GMG40100을 코너R로 잘못 비교해 핵심 정보가 부정확했음
💬 코멘트 분석: 비교 설명은 받았지만 제품 형상/특징 오류로 신뢰가 떨어졌다는 뜻</t>
  </si>
  <si>
    <t>최종 평가: 👎 / 응답: 👍4 👎1 총 5개 응답 / 선택지: 👍3 👎2</t>
  </si>
  <si>
    <t>tf-evt-mn5i3uzl-3q8qaquh</t>
  </si>
  <si>
    <t>RLH-0168</t>
  </si>
  <si>
    <t>티타늄 φ10 슬롯팅용 4날 Y-Coating 추천 요청</t>
  </si>
  <si>
    <t>🧭 초기 조건: 문의 목적=신규 제품 추천 / 피삭재 (소재)=티타늄 / 가공 형상=Slotting / 가공 방식=Milling / 공구 직경=10mm
🤖 AI assistant: 티타늄 소재를 φ10mm로 슬로팅 가공하시는군요. 현재 353개 제품이 매칭됩니다.
티타늄 중에서도 정확히 어떤 소재인가요?
  [선택지: 내열합금 | 인코넬 | 티타늄 | 티타늄 합금 | 상관없음]
👤 사용자: 상관없음
🤖 AI assistant: 현재 353개 후보가 있습니다. 날 수(flute) 선호가 있으신가요?
  [선택지: 4날 (200개) | 6날 (51개) | 3날 (41개) | 5날 (32개) | 상관없음 …]
👤 사용자: 4날 (200개)
🤖 AI assistant [응답 👍] [선택지 👍]: 코팅 종류 선호가 있으신가요? 후보 중에 Y-Coating, K2, TiAlN 등이 있습니다.
  [선택지: Y-Coating (71개) | TiAlN (57개) | AlTiN (33개) | T-Coating (31개) | 상관없음 …]
👤 사용자: Y-Coating (71개)
🤖 AI assistant [응답 👎] [선택지 👎]: 티타늄 슬로팅 가공용으로 **V7 PLUS GMG55100**을 추천드립니다.
**추천 근거:**
- φ10mm 4날 Y-Coating으로 요청 조건 100% 일치
- S군(내열합금) 태그로 티타늄 가공 최적화
- 현재 재고 보유 중이라 즉시 출고 가능
**대안 옵션:**
- **GMG40 시리즈** (TitaNox-Power): M/P/S군 전용 설계로 티타늄 특화. GMG55보다 소재 범위는 좁지만 내열합금 전용 최적화
- **GMF63 시리즈** (V7 PLUS): GMG55와 동일 스펙이지만 시리즈 코드 차이. 용도에 따라 선택 가능
총 71개 제품이 조건에 맞습니다. 상위 10개 모두 100점 매칭이며, 시리즈별 특성 차이만 있습니다.
⚠️ 절삭조건(Vc, fz 등) 정보는 현재 확인되지 않습니다. 구체적인 가공 조건은 본사 기술지원팀(032-526-0909)에 문의하시면 정확한 안내 받으실 수 있습니다.
📋 **Reference:** YG-1 내부 DB (카탈로그 스펙, 재고 정보)
  [선택지: 대체 후보 4개 비교하기 | 절삭조건 알려줘 | 왜 이 제품을 추천했나요? | 다른 코팅 옵션 보기 | 시리즈 차이 설명해줘 (GMG55 vs GMG40) …]</t>
  </si>
  <si>
    <t>🎯 의도: 조건에 맞는 티타늄 슬롯팅용 엔드밀 추천
✅ 정답 행동: 사용자가 선택한 조건(티타늄/Slotting/Milling/φ10/4날/Y-Coating)을 기준으로 후보를 정확히 좁혀서, 실제 매칭 제품을 제시해야 함. 추천 근거는 스펙 일치, 소재 적합성, 재고 여부 중심으로 간단명료하게 설명하고, 절삭조건은 미제공 시 별도로 안내해야 함.
⚠️ 당시 문제: 최종 추천은 조건 일치는 했지만, 대안/시리즈 설명이 혼재되어 핵심 추천의 신뢰도가 떨어짐
💬 코멘트 분석: 최종 평가가 부정적이어서, 추천 자체보다 응답의 정확성·일관성에 대한 불만이 핵심임</t>
  </si>
  <si>
    <t>최종 평가: 👎 / 응답: 👍1 👎1 총 4개 응답 / 선택지: 👍1 👎1</t>
  </si>
  <si>
    <t>tf-evt-mn60la7d-1hav0lx1</t>
  </si>
  <si>
    <t>RLH-0169</t>
  </si>
  <si>
    <t>사용자는 슬로팅용 날 형상과 공구 차이를 물었음</t>
  </si>
  <si>
    <t>🧭 초기 조건: 문의 목적=신규 제품 추천 / 피삭재 (소재)=티타늄 / 가공 형상=Slotting / 가공 방식=Milling / 공구 직경=10mm
🤖 AI assistant: 티타늄 소재를 φ10mm로 슬로팅 가공하시는군요. 현재 353개 제품이 매칭됩니다.
티타늄 중에서도 정확히 어떤 소재인가요?
  [선택지: 내열합금 | 인코넬 | 티타늄 | 티타늄 합금 | 상관없음]
👤 사용자: 상관없음
🤖 AI assistant: 현재 353개 후보가 있습니다. 날 수(flute) 선호가 있으신가요?
  [선택지: 4날 (200개) | 6날 (51개) | 3날 (41개) | 5날 (32개) | 상관없음 …]
👤 사용자: 4날 (200개)
🤖 AI assistant [응답 👍] [선택지 👍]: 코팅 종류 선호가 있으신가요? 후보 중에 Y-Coating, K2, TiAlN 등이 있습니다.
  [선택지: Y-Coating (71개) | TiAlN (57개) | AlTiN (33개) | T-Coating (31개) | 상관없음 …]
👤 사용자: Y-Coating (71개)
🤖 AI assistant [응답 👎] [선택지 👎]: 티타늄 슬로팅 가공용으로 **V7 PLUS GMG55100**을 추천드립니다.
**추천 근거:**
- φ10mm 4날 Y-Coating으로 요청 조건 100% 일치
- S군(내열합금) 태그로 티타늄 가공 최적화
- 현재 재고 보유 중이라 즉시 출고 가능
**대안 옵션:**
- **GMG40 시리즈** (TitaNox-Power): M/P/S군 전용 설계로 티타늄 특화. GMG55보다 소재 범위는 좁지만 내열합금 전용 최적화
- **GMF63 시리즈** (V7 PLUS): GMG55와 동일 스펙이지만 시리즈 코드 차이. 용도에 따라 선택 가능
총 71개 제품이 조건에 맞습니다. 상위 10개 모두 100점 매칭이며, 시리즈별 특성 차이만 있습니다.
⚠️ 절삭조건(Vc, fz 등) 정보는 현재 확인되지 않습니다. 구체적인 가공 조건은 본사 기술지원팀(032-526-0909)에 문의하시면 정확한 안내 받으실 수 있습니다.
📋 **Reference:** YG-1 내부 DB (카탈로그 스펙, 재고 정보)
  [선택지: 대체 후보 4개 비교하기 | 절삭조건 알려줘 | 왜 이 제품을 추천했나요? | 다른 코팅 옵션 보기 | 시리즈 차이 설명해줘 (GMG55 vs GMG40) …]
👤 사용자: GMG55100 이랑 GMG40100의 차이가 뭐야?
🤖 AI assistant: # YG-1 절삭공구 비교 분석
## 제품 비교표
| 비교 항목 | GMG55100 | GMG40100 |
|---------|----------|----------|
| **제품코드** | GMG55100 | GMG40100 |
| **브랜드/시리즈** | V7 PLUS / GMG55 | TitaNox-Power / GMG40 |
| **직경** | 10mm | 10mm |
| **날수** | 4날 | 4날 |
| **코팅** | Y-Coating | Y-Coating |
| **엔드밀 형상** | Ball End mill (볼엔드밀) | Corner Radius End mill (코너R) |
| **헬릭스 특징** | Multiple Helix Regular | Multiple Helix Double Core |
| **소재 적합성** | H, K, M, P, S (5종) | M, P, S (3종) |
| **매칭 점수** | exact (100점) | exact (100점) |
| **재고 수량** | 53개 | 509개 |
| **절삭조건** | 없음 | 없음 |
## 제품별 특징
### GMG55100 (V7 PLUS)
- **강점**: 볼엔드밀로 3D 곡면 가공에 최적, 경화강(H)과 초경합금(K) 가공 가능, 폭넓은 소재 적용
- **약점**: 재고량이 상대적으로 적음, 평면 가공 시 효율 낮음
### GMG40100 (TitaNox-Power)
- **강점**: Double Core 구조로 강성 우수, 코너R로 평면+측면 가공 효율적, 대량 재고 확보
- **약점**: 경화강/초경합금 가공 불가, 3D 곡면 가공 제한적
## 추천 용도
- **GMG55100 선택**: 3D 금형 가공, 곡면 마감, 경화강(50HRC 이상) 가공, 다양한 소재 대응 필요 시
- **GMG40100 선택**: 일반 평면 가공, 포켓 가공, 철강/스테인리스 중심 작업, 안정적 재고 확보 필요 시
---
[Reference: YG-1 내부 DB]
  [선택지: 추천해주세요 | 다른 조건으로 | ⟵ 이전 단계 | 처음부터 다시]
👤 사용자: slotting 할때 가장 적합한 날 형상은 무엇인가요?
🤖 AI assistant: SLOTTING 제품 정보를 내부 DB에서 찾지 못했습니다.
현재 후보 제품의 제품코드로 다시 물어보시면 해당 제품 정보를 조회해드릴 수 있습니다.
[Reference: YG-1 내부 DB]
  [선택지: 후보 제품 보기 | 추천 제품 보기 | 처음부터 다시]
👤 사용자: 웹검색 해줘,,
🤖 AI assistant [응답 👎] [선택지 👎]: 죄송합니다만, 저는 웹 검색 기능을 제공하지 않습니다. 😅
저는 **YG-1 절삭공구 추천 전문 시스템**으로, 다음과 같은 기능을 제공하고 있어요:
- 절삭공구(엔드밀, 드릴 등) 추천
- 가공 조건에 맞는 제품 필터링
- 제품 스펙 비교
- 공구 관련 기술 용어 설명
현재 **4날, Y-Coating 조건**으로 필터링된 제품들이 준비되어 있습니다! 
원하시는 작업을 선택해 주세요:
- 🔍 **제품 추천 보기** - 조건에 맞는 추천 제품 확인
- 📋 **처음부터 다시** - 새로운 조건으로 검색
- ❓ **기술 용어 설명** - 궁금한 공구 관련 용어 질문
무엇을 도와드릴까요?
[Reference: AI 지식 추론]
  [선택지: 후보 제품 보기 | 추천 제품 보기 | 처음부터 다시]</t>
  </si>
  <si>
    <t>🎯 의도: 슬롯 가공에 가장 적합한 날 형상 및 관련 제품 차이 확인
✅ 정답 행동: 슬로팅에 적합한 형상/날수/코팅의 일반 원칙을 먼저 설명하고, 현재 후보인 GMG55100과 GMG40100의 용도 차이를 제품 스펙 기준으로 비교했어야 함. 웹검색 불가 안내 대신, 내부 DB 범위에서 답할 수 있는 내용과 추가로 필요한 조건을 명확히 안내했어야 함.
⚠️ 당시 문제: 슬롯용 형상 질문에 DB 검색 불가만 답하고 실질 정보 제공이 부족함
💬 코멘트 분석: 웹검색이 아니라 실제 가공에 맞는 답변과 후보 설명을 원함</t>
  </si>
  <si>
    <t>최종 평가: 👎 / 응답: 👍1 👎2 총 7개 응답 / 선택지: 👍1 👎2</t>
  </si>
  <si>
    <t>tf-evt-mn60r2dm-apswgorx</t>
  </si>
  <si>
    <t>RLH-0170</t>
  </si>
  <si>
    <t>8mm 알루미늄 Side Milling 추천 흐름 점검</t>
  </si>
  <si>
    <t>🧭 초기 조건: 문의 목적=신규 제품 추천 / 피삭재 (소재)=알루미늄 / 가공 형상=Side_Milling / 가공 방식=Milling / 공구 직경=8mm
🤖 AI assistant [응답 👍] [선택지 👍]: 알루미늄 소재, 8mm 직경으로 Side Milling 작업이시군요. 현재 406개 제품이 매칭됩니다.
알루미늁 내에서도 세부 소재에 따라 최적 제품이 달라집니다. 어떤 소재를 가공하시나요?
  [선택지: 비철금속 (50개) | 알루미늄 (60개) | 알루미늄 합금 (10개) | 상관없음]
👤 사용자: 상관없음
🤖 AI assistant [응답 👍] [선택지 👍]: 직경 8mm 근처에 6, 6.35, 6.5, 7, 7.5mm가 있습니다. 정확한 직경을 선택해주세요.
  [선택지: 6mm | 6.35mm | 6.5mm | 7mm | 7.5mm …]
👤 사용자: 정확하게 8mm 없어 ?
🤖 AI assistant [응답 👍] [선택지 👍]: 네, 정확히 8mm 제품 122개 있습니다!
가공 형상에 따라 Square(75개), Radius(27개), Roughing(6개) 등으로 나뉩니다. 어떤 형상이 필요하신가요? Side Milling엔 보통 Square나 Radius를 많이 쓰는데요.
  [선택지: Square (75개) | Radius (27개) | Roughing (6개) | Ball (2개) | 상관없음 …]
👤 사용자: Ball (2개)
🤖 AI assistant [응답 👍] [선택지 👍]: 알루미늄 볼엔드밀(φ8mm)용으로 **ALU-POWER EG910080**(2날)을 추천드립니다.
**추천 근거:**
- 직경 8mm 정확 매칭, 비철 전용 N군 소재 최적화
- TiCN 코팅으로 알루미늄 가공 시 용착 방지 효과
- 2날 설계로 칩 배출 원활, 측면 가공(Side Milling)에 적합
**대안:** EG908080(3날)도 동일 스펙이나, 3날 구조로 마무리 품질이 더 우수합니다. 거친 가공은 2날(EG910080), 정밀 마무리는 3날(EG908080) 선택을 권장합니다.
**주의:** 현재 재고 limited 상태이며, 절삭조건/납기 정보가 확인되지 않아 주문 전 본사(032-526-0909) 확인 필요합니다.
📋 **Reference:** YG-1 내부 DB (카탈로그/재고 데이터)
  [선택지: 날수로 좁히기 (2날/3날) | 상위 2개 비교 | EG910080 상세 정보 | 다른 코팅 옵션 보기 | 시리즈 차이 설명해줘 (EG910 vs EG908) …]
👤 사용자: φ8mm 외 다른 직경
🤖 AI assistant [응답 👍] [선택지 👍]: 8MM 제품 정보를 내부 DB에서 찾지 못했습니다.
현재 후보 제품의 제품코드로 다시 물어보시면 해당 제품 정보를 조회해드릴 수 있습니다.
[Reference: YG-1 내부 DB]
  [선택지: 후보 제품 보기 | 추천 제품 보기 | 처음부터 다시]
👤 사용자: 네, 정확히 8mm 제품 122개 있습니다!
가공 형상에 따라 Square(75개), Radius(27개), Roughing(6개) 등으로 나뉩니다. 어떤 형상이 필요하신가요? Side Milling엔 보통 Square나 Radius를 많이 쓰는데요. 너가 이렇게 대답했는데 ...........
🤖 AI assistant [응답 👎] [선택지 👎]: 8MM 제품 정보를 내부 DB에서 찾지 못했습니다.
현재 후보 제품의 제품코드로 다시 물어보시면 해당 제품 정보를 조회해드릴 수 있습니다.
[Reference: YG-1 내부 DB]
  [선택지: 후보 제품 보기 | 추천 제품 보기 | 처음부터 다시]</t>
  </si>
  <si>
    <t>🎯 의도: 알루미늄, φ8mm, Side Milling에 맞는 제품 추천
✅ 정답 행동: 초기 맥락대로 8mm 후보가 있음을 유지하고, 형상 선택을 이어가며 Side Milling이면 Square/Radius 우선 안내 후 정확한 제품 추천으로 연결했어야 함. 중간에 “8MM 제품 정보를 찾지 못했다”로 답변을 뒤집지 말고 일관되게 조회/추천을 진행해야 함.
⚠️ 당시 문제: 8mm 제품이 없다고 잘못 응답해 앞선 안내와 모순됨
💬 코멘트 분석: 사용자는 앞선 “8mm 122개 있음” 응답과 이후 부정응답의 불일치를 지적함</t>
  </si>
  <si>
    <t>tf-evt-mn83l5wx-z3uyse0f</t>
  </si>
  <si>
    <t>RLH-0171</t>
  </si>
  <si>
    <t>알루미늄 8mm 엔드밀을 2날 Radius로 추천 요청</t>
  </si>
  <si>
    <t>🧭 초기 조건: 문의 목적=신규 제품 추천 / 피삭재 (소재)=알루미늄 / 가공 형상=Side_Milling,Side Milling / 가공 방식=Milling / 공구 직경=8mm
🤖 AI assistant: 현재 406개 후보가 있습니다. 날 수(flute) 선호가 있으신가요?
  [선택지: 3날 (193개) | 4날 (140개) | 2날 (43개) | 8날 (7개) | 상관없음 …]
👤 사용자: 3날 (193개)
🤖 AI assistant: 네, 3날 조건을 적용하여 193개의 제품으로 좁혀졌습니다.
알루미늄 가공용 φ8mm 3날 엔드밀 중에서, 공구의 **형상(툴타입)**을 선택하시면 더 정확한 추천이 가능합니다.
현재 후보 제품의 형상 분포는 다음과 같습니다:
• **Square (스퀘어)** — 98개: 평면 가공, 측면 가공에 적합한 기본 형상입니다. 날 끝이 직각이라 바닥면을 평평하게 가공할 수 있습니다.
• **Radius (라디우스)** — 71개: 날 끝에 R(모서리 반경)이 있어 공구 수명이 길고 측면 가공 시 표면조도가 우수합니다. 코너부 강도가 높아 황삭/중삭에 유리합니다.
• **Roughing (러핑)** — 20개: 날에 홈(세레이션)이 있어 절삭 저항을 분산시켜 대량의 재료를 빠르게 제거하는 황삭 전용 공구입니다.
• 기타 형상 — 4개: Ball, Taper 등 특수 형상
**형상 선택 가이드:**
- 평면/바닥면 마무리 가공 → Square
- 측면 가공 중심, 공구 수명 중시 → Radius
- 큰 재료 제거량, 황삭 작업 → Roughing
어떤 형상을 원하시나요? 또는 "상관없음"을 선택하시면 전체 193개 제품 중에서 추천해드리겠습니다.
  [선택지: Square (98개) | Radius (71개) | Roughing (20개) | Ball (3개) | 상관없음 …]
👤 사용자: 각각에 대해서 설명
🤖 AI assistant [응답 👍] [선택지 👍]: 알루미늄 가공용 φ8mm 3날 엔드밀의 **형상별 특징**을 설명드리겠습니다.
---
### 🟦 **Square (스퀘어)** — 98개
- **형상**: 날 끝이 직각(90°)인 평날 엔드밀
- **용도**: 측면 가공(Side Milling), 바닥 평면 가공, 슬롯 가공
- **장점**: 날카로운 모서리로 정확한 직각 코너 가공, 범용성 높음
- **추천**: 일반적인 포켓 가공, 윤곽 가공에 가장 많이 사용
---
### 🟨 **Radius (R엔드밀)** — 71개
- **형상**: 날 끝 모서리에 R(라운드) 처리
- **용도**: 측면 가공 시 공구 수명 연장, 3D 곡면 가공
- **장점**: 모서리 결함 방지, 공구 마모 감소, 측면 가공 시 진동 억제
- **추천**: 고속 가공, 공구 수명 중시, 입체 형상 가공
---
### 🟩 **Roughing (러핑)** — 20개
- **형상**: 날에 웨이브(wave) 또는 톱니 형태 홈 가공
- **용도**: 황삭(거친 가공), 대량 절삭
- **장점**: 칩을 잘게 쪼개 배출 원활, 절삭 저항 분산, 높은 이송 가능
- **추천**: 빠른 재료 제거, 다듬질 전 황삭 공정
---
### 🟥 **Ball (볼 엔드밀)** — 3개
- **형상**: 날 끝이 반구(hemisphere) 형태
- **용도**: 3D 곡면 가공, 금형 다듬질
- **장점**: 부드러운 곡면 가공, 정밀 윤곽 가공
- **추천**: 자유 곡면, 금형 마무리 가공
---
어떤 형상으로 좁혀드릴까요? 😊
  [선택지: 쉽게 설명해줘 | 추천으로 골라줘 | 상관없음 | Square란? | Radius란? …]
👤 사용자: 램핑 가공에서는 어떤 형상이 좋은가
🤖 AI assistant: 램핑(Ramping) 가공에 적합한 엔드밀 형상에 대해 말씀드리겠습니다.
[AI 보충 의견]
램핑 가공은 Z축 방향으로 경사지게 하강하면서 절삭하는 방식으로, 다음과 같은 형상이 유리합니다:
**1. 코너 R형(Radius) — 현재 선택하신 형상 ✓**
- 바닥 코너에 R이 있어 공구 끝단 집중 응력 분산
- 급격한 Z축 하강 시 공구 파손 위험 최소화
- 알루미늄처럼 부드러운 소재에서 표면조도 우수
- **램핑 가공에 가장 적합한 형상입니다**
**2. 볼형(Ball)**
- 완전한 구형으로 접촉면 분산 효과 최대
- 곡면 가공 겸용 시 선택
- 하지만 측면 가공 시 절삭날이 적어 효율 저하
**3. Square형**
- 바닥이 평평해 램핑 시 끝단에 충격 집중
- 얕은 경사 램핑(경사각 2-3° 이하)에만 권장
- 알루미늄에서는 끝날 치핑 위험
[DB 데이터]
현재 표시된 상위 제품들은 모두 **Radius형**으로, 램핑 가공에 최적화된 형상입니다:
- E5D72 시리즈: ALU-CUT 전용 설계
- 3날 구조로 칩 배출 공간 확보
- 알루미늄 가공용 Bright Finish
**결론**: 고객님께서 이미 선택하신 **Radius형이 램핑 가공에 가장 적합**합니다. 현재 필터 조건(3날 + Radius)을 유지하시는 것이 최선입니다.
━━━━━━━━━━━━━━━━━━━━━━
그럼 세부 피삭재 선택으로 돌아가겠습니다.
알루미늄 계열 중 가공하실 소재를 선택해주세요:
• **순 알루미늄(A1000)**: 1000번대 합금, 무른 소재
• **두랄루민(A2000)**: 2000번대, Cu 함유, 강도↑
• **알루미늄-망간(A3000)**: 3000번대, 일반 구조재
• **실루민(A4000)**: 4000번대, Si 함유, 주조용
• **알루미늄-마그네슘(A5000)**: 5000번대, 내식성↑
• **알루미늘-마그네슘-규소(A6000)**: 6000번대, 압출재 (가장 범용)
• **알루미늄-아연(A7000)**: 7000번대, 초고강도
• **기타 알루미늄**: 범용 선택
가장 많이 사용되는 것은 **6000번대(A6061 등)**입니다.
  [선택지: 비철금속 (26개) | 알루미늄 (26개) | 상관없음 | ⟵ 이전 단계 | 📋 지금 바로 제품 보기 (71개) …]
👤 사용자: 비철금속 (26개)
🤖 AI assistant: ```json
{
 "responseText": "## 알루미늄 Side Milling 가공용 추천 제품\n\n고객님의 가공 조건(알루미늄, Side Milling, φ8mm)에 최적화된 **ALU-CUT 시리즈의 GED7208030 (E5D72)**을 추천드립니다.\n\n---\n\n### [DB 데이터]\n\n**■ 1순위 제품: GED7208030 (E5D72 시리즈)**\n\n**제품 스펙**\n- **브랜드**: ALU-CUT for Korean Market\n- **시리즈**: E5D72\n- **형상**: Radius (코너 R 형상)\n- **직경**: φ8mm\n- **날 수**: 3날\n- **코팅**: Bright Finish (무코팅)\n- **적합 소재**: 비철금속(N군) - 알루미늄, 구리, 황동 등\n\n**매칭 근거**\n이 제품은 고객님의 요구사항과 **100% 정확하게 일치**(105/105점)합니다:\n\n1. **직경 일치** (40/40pt): 요청하신 φ8mm와 정확히 동일합니다.\n\n2. **소재 최적화** (20/20pt): 비철금속(N군) 전용 설계로, 알루미늄 가공에 특화되어 있습니다. ALU-CUT 브랜드는 YG-1의 알루미늄 전용 라인으로, 칩 배출성과 표면조도에서 우수한 성능을 보입니다.\n\n3. **날 수 최적** (15/15pt): 3날 구조는 알루미늄처럼 연한 소재에서 칩 배출 공간을 충분히 확보하면서도, 강성을 유지하는 최적의 구성입니다. 4날 이상은 칩 막힘 위험이 있고, 2날은 강성이 부족할 수 있습니다.\n\n4. **가공 방식 적합** (8/15pt): Side Milling, Slotting, Corner Radius, Facing 등 다양한 가공이 가능합니다. 특히 Radius 형상은 램핑 가공 시 코너 파손 위험을 줄여주고, 측면 가공 시 표면 품질을 향상시킵니다.\n\n**절삭조건 (신뢰도 90%)**\n데이터베이스에 등록된 절삭조건 2건 기준:\n- **절삭속도(Vc)**: 201 m/min\n- **날당이송(fz)**: 0.042 mm/tooth\n- **절입깊이(ap)**: 0.2D (= 1.6mm)\n\n이 조건은 일반 알루미늄 합금(A6061, A7075 등) 기준이며, 주조 알루미늄이나 고경도 합금은 속도를 10-20% 낮추시는 것을 권장합니다.\n\n**재고 정보**\n현재 재고 정보를 확인할 수 없습니다. 정확한 재고와 납기는 본사(032-526-0909) 또는 온라인 주문 시스템(oos.yg1.solutions)에서 확인하실 수 있습니다.\n\n---\n\n### [AI 보충 의견]\n\n**■ 왜 Radius 형상인가?**\n\n고객님께서 램핑 가공(경사 하강)을 고려하신다면, Radius 형상은 매우 적절한 선택입니다:\n\n1. **코너 강성**: R 형상은 날끝 코너의 단면적을 증가시켜 Square(평날) 대비 파손 위험을 50% 이상 감소시킵니다. 특히 램핑 시 Z축 방향 부하가 집중되는데, R 코너가 이를 분산시킵니다.\n\n2. **표면 품질**: 측면 가공(Side Milling) 시 R 코너는 공작물 표면에 미세한 아치형 프로파일을 남기는데, 이는 Square 대비 표면조도(Ra)를 10-30% 개선합니다.\n\n3. **공구 수명**: 날끝 집중 하중이 분산되어 Square 대비 공구 수명이 1.5-2배 연장됩니다.\n\n**■ 무코팅(Bright Finish) 선택 이유**\n\n알루미늄 가공에서는 코팅이 없는 것이 오히려 유리합니다:\n- **칩 용착 방지**: TiAlN 등 코팅은 알루미늄과 화학 반응으로 인해 칩이 날에 달라붙는(Built-up Edge) 현상을 유발할
  [선택지: 상위 3개 비교 | GED7208030 상세 정보 | 다른 코팅 옵션 보기 | φ8mm 외 다른 직경 | Aluminum 가공 팁 보기 …]
👤 사용자: 3날 말고 2날로 추천
🤖 AI assistant: 알겠습니다. 3날 대신 2날로 변경했습니다.
공구 세부 타입이 중요한가요? Square (24개), Drill Mill (6개), Radius (4개) 등이 있습니다.
  [선택지: Square (24개) | Drill Mill (6개) | Radius (4개) | Ball (3개) | 상관없음 …]
👤 사용자: Radius (4개)
🤖 AI assistant: ```json
{
 "responseText": "## 알루미늄 측면 가공용 2날 Radius 엔드밀 추천\n\n알루미늄 측면 가공(Side Milling)용으로 **ALU-POWER E5930080**을 추천드립니다.\n\n---\n\n### [DB 데이터]\n\n**■ 추천 제품: E5930080 (ALU-POWER 시리즈)**\n\n**제품 사양**\n- **시리즈**: ALU-POWER E5930\n- **형상**: Radius (코너 R형)\n- **직경**: φ8mm\n- **날 수**: 2날\n- **코팅**: Bright Finish (무코팅 고광택 마감)\n- **적합 소재**: N군 (비철금속 - 알루미늄, 구리 등)\n- **재고**: 재고 있음\n- **납기**: 정보 없음 (본사 032-526-0909 문의 필요)\n\n**매칭 근거 (96/100점, exact match)**\n1. **직경 일치 (40/40점)**: 요청하신 8mm와 정확히 일치합니다.\n2. **소재 최적화 (20/20점)**: ALU-POWER 시리즈는 알루미늄 전용 설계로, N군(비철금속) 태그를 가지고 있어 요청 소재와 완벽하게 매칭됩니다.\n3. **날 수 일치 (15/15점)**: 2날 구조로 칩 배출이 원활하며, 알루미늄 가공 시 절삭 저항을 최소화합니다.\n4. **가공 방식 적합 (8/15점)**: Side Milling(측면 가공) 외에도 Slotting, Corner Radius, Facing 등 다양한 가공이 가능합니다.\n5. **형상 일치**: Radius 형상으로 코너 R 가공에 적합합니다.\n\n**절삭조건**: 현재 데이터베이스에서 E5930080의 상세 절삭조건(Vc, fz, ap, ae)은 확인되지 않습니다. 카탈로그 또는 기술지원팀(032-526-0909)을 통해 확인하시기 바랍니다.\n\n---\n\n### [AI 보충 의견]\n\n**■ 왜 이 제품인가?**\n\nALU-POWER E5930은 알루미늄 가공에 특화된 YG-1의 대표 시리즈입니다. 2날 설계는 알루미늄처럼 연성이 큰 소재에서 다음과 같은 장점을 제공합니다:\n\n1. **칩 배출 최적화**: 넓은 플루트(홈) 공간으로 긴 칩이 원활하게 배출되어 재절삭을 방지합니다.\n2. **절삭 저항 감소**: 3날 대비 날당 부하가 커지지만, 알루미늄의 낮은 경도로 인해 문제없이 고속 가공이 가능합니다.\n3. **공구 수명**: Bright Finish는 알루미늄과의 친화성이 낮아 용착(Built-up Edge)을 최소화하여 공구 수명을 연장합니다.\n\n**측면 가공(Side Milling) 적용 팁**:\n- **경사날 설계**: ALU-POWER 시리즈는 일반적으로 고경사각(High Helix)을 채택하여 측면 가공 시 절삭력을 축방향으로 분산시켜 진동을 억제합니다.\n- **Radius 형상**: 코너 R이 있어 직각 코너 대비 응력 집중이 적고, 표면 조도가 우수합니다.\n- **쿨런트**: 데이터상 내부 쿨런트홀 정보는 없으나, 외부 쿨런트를 충분히 공급하면 칩 배출과 냉각 효과를 극대화할 수 있습니다.\n\n**■ 대안 제품 비교**\n\n현재 조건(2날, Radius, φ8mm 알루미늄용)에서 6개 제품이 매칭되었으며, 상위 2개는 다음과 같습니다:\n\n**2순위: E5909080 (ALU-POWER E5909) - 96점**\n- **차이점**: E5930과 동일한 ALU-POWER 시리즈이지만, E5909는 날장 길이나 전체 길이가 다를 수 있습니다(상세 스펙 미확인).\n- **선택 기준**: 가공 깊이(ap)가 깊다면 E5909의 날장이 더 길 가능성이 있으므로 카탈로그 확인이
  [선택지: 상위 3개 비교 | E5930080 상세 정보 | 다른 코팅 옵션 보기 | 시리즈 차이 설명해줘 (E5930 vs E5909) | φ8mm 외 다른 직경 …]
👤 사용자: 형상 가공 중에서 램핑에 적절한건 어떤것인가
🤖 AI assistant: 선택하신 소재는 ISO N (비철)군입니다. 세부 피삭재를 선택해주세요.
  [선택지: 알루미늄 (5개) | 알루미늄 합금 (5개) | 상관없음 | ⟵ 이전 단계 | 📋 지금 바로 제품 보기 (43개) …]
👤 사용자: 알루미늄 (5개)
🤖 AI assistant [응답 👎] [선택지 👎]: "알루미늄" 조건을 적용하면 후보가 없습니다. 현재 6개 후보에서 다른 조건을 선택해주세요.
  [선택지: ⟵ 이전 단계 | 처음부터 다시 | 📋 지금 바로 제품 보기 (6개) | ✨ AI 상세 분석]
👤 사용자: 상위 3개 제품 비교
🤖 AI assistant: # YG-1 ALU-POWER 제품 비교표
| 항목 | E5930080 | E5909080 | E5930100 |
|------|----------|----------|----------|
| **제품코드** | E5930080 | E5909080 | E5930100 |
| **시리즈** | E5930 (25°Helix) | E5909 (30°Helix) | E5930 (25°Helix) |
| **직경** | 8mm | 8mm | 10mm |
| **날수** | 2날 | 2날 | 2날 |
| **코팅** | Bright Finish | Bright Finish | Bright Finish |
| **소재 적합성** | N (비철금속) | N (비철금속) | N (비철금속) |
| **매칭 점수** | 96점 (exact) | 96점 (exact) | 56점 (approximate) |
| **재고** | 44개 | 37개 | 74개 |
| **절삭조건** | 없음 | 없음 | 없음 |
## 제품별 특징
**E5930080 (25°Helix, 8mm)**
- 강점: 낮은 헬릭스각으로 절삭 저항 감소, 안정적인 가공
- 약점: 칩 배출성이 30°대비 다소 떨어짐
**E5909080 (30°Helix, 8mm)**
- 강점: 높은 헬릭스각으로 우수한 칩 배출성과 표면조도
- 약점: 절삭 저항이 25°대비 약간 높을 수 있음
**E5930100 (25°Helix, 10mm)**
- 강점: 큰 직경으로 고능률 가공 가능, 재고 풍부
- 약점: 매칭 점수 낮음 (요구 사양과 직경 불일치)
## 추천 용도
- **일반 알루미늄 가공 (안정성 중시)**: E5930080 추천
- **표면조도가 중요한 마감가공**: E5909080 추천 (30° 헬릭스)
- **더 큰 직경이 필요한 경우**: E5930100 선택 (단, 8mm 요구 시 부적합)
**동일 직경(8mm) 선택 시**: 안정성과 공구 수명을 원하면 **E5930080**, 표면 품질과 칩 배출을 우선하면 **E5909080**
[Reference: YG-1 내부 DB]
  [선택지: 추천해주세요 | 다른 조건으로 | ⟵ 이전 단계 | 처음부터 다시]
👤 사용자: ALU-POWER와 ALU-POWER HPC 비교
🤖 AI assistant: ALU-POWER는 1~3날의 다양한 날 수와 ALTIN, TiCN, TiN 등 5가지 이상의 코팅 옵션을 제공하며, 초경부터 하이스(HSS-PM, T15)까지 다양한 공구 소재로 50개 시리즈를 보유한 범용 알루미늄 가공용 브랜드입니다. 반면 ALU-POWER HPC는 3날로만 구성되고 DLC 코팅 단일 옵션에 초경 소재만 사용하는 18개 시리즈의 전문화된 고성능 라인으로, 트로코이달 및 램핑 같은 고급 가공 형상을 지원합니다. ALU-POWER는 주철과 강재까지 폭넓게 적용 가능한 반면, ALU-POWER HPC는 알루미늄 다이캐스트와 비철합금, 플라스틱에 특화되어 있습니다. 직경 범위는 ALU-POWER가 φ2mm부터 시작해 더 작은 직경을 커버하는 차이가 있습니다.
ALU-POWER vs ALU-POWER HPC 브랜드를 내부 DB 기준으로 비교했습니다.
| 항목 | ALU-POWER | ALU-POWER HPC |
| --- | --- | --- |
| 설명 | ? Bright and TiCN Coated&lt;br/&gt;? For Aluminum Alloys&lt;br/&gt;? Mirror surface ? Excellent surface Finishes | ? 3 Flute&lt;br/&gt;? Square End &amp; Corner Radius&lt;br/&gt;? Standard and Extended Length&lt;br/&gt;? Coated and Uncoated |
| 적용 소재 설명 | For Aluminum Alloys | For Aluminium, Aluminum Die Cast, Non-ferrous Alloys and Plastics |
| 대표 시리즈 | E5253, E5254, E5521, E5522, E5711 외 45개 | E5H22, E5H23, E5H24, E5H25, E5I36 외 13개 |
| 시리즈 수 | 50개 | 18개 |
| 가공 타입 | Solid, undefined | Solid, undefined |
| 형상 | Corner_Radius,Die-Sinking,Facing,Helical_Interpolation,Side_Milling,Slotting, Die-Sinking,Facing,Side_Milling,Slotting, Profiling,Side_Milling, Side Milling, Side_Milling,Profiling,Small_Part 외 12개 | Corner_Radius,Die-Sinking,Facing,Helical_Interpolation,Side_Milling,Slotting, Corner_Radius,Die-Sinking,Helical_Interpolation,Ramping,Side_Milling,Slotting,Taper_Side_Milling,Trochoidal, Die-Sinking,Facing,Side_Milling,Slotting, Die-Sinking,Helical_Interpolation,Ramping,Side_Milling,Slotting,Taper_Side_Milling,Trochoidal, Side_Milling,Slotting,Corner_Radius,Trochoidal 외 6개 |
| 날 수 | 1날, 2날, 3날 | 3날 |
| 코팅 | ALTIN, Bright Finish, TiAlN, TiCN, TiN 외 1개 | DLC |
| 공구 소재 | Carbide, HSS-PM, T15 | Carbide |
| 직경 범위 | φ2~177.8mm | φ3~177.8mm |
| ISO | - | - |
| 피삭재 | Acrylic, Alloy Steels, Aluminum, Carbon Steels, Cast Iron | Aluminum, Copper, Non-ferrous |
| HRC | - | - |
[Reference: YG-1 내부 DB]
  [선택지: 다른 브랜드 비교 | 시리즈 비교 | 추천 제품 보기]
👤 사용자: 2날 대신 3날로
🤖 AI assistant: 알겠습니다. 2날 대신 3날로 변경했습니다.
알겠습니다. 3날 제품으로 다시 필터를 적용했습니다.
[DB 데이터]
현재 조건:
• 소재: 알루미늄 (ISO N군)
• 가공 형상: Side Milling
• 직경: φ8mm
• 형상: Radius (R)
• 날수: 3날
총 71개의 제품이 매칭되었으며, 상위 추천 제품은 다음과 같습니다:
**1순위: E5D72 시리즈 (ALU-CUT for Korean Market)**
• 제품코드: E5D7208030, GED7208030 등
• 형상: Radius 엔드밀
• 직경: φ8mm
• 날수: 3날
• 코팅: Bright Finish (무코팅)
• 쿨런트홀: 없음
이 시리즈는 알루미늄 가공에 특화된 전용 제품군으로, 3날 설계가 칩 배출과 절삭 안정성의 균형을 맞춘 구조입니다.
[AI 보충 의견]
3날 제품의 장점:
• 2날 대비 생산성 향상 (이송속도 1.5배)
• 공구 수명 연장 (날당 부하 분산)
• 측면 가공 시 진동 감소
• 알루미늄의 연성을 고려한 날 설계로 용착 최소화
다만, 알루미늄 내에서도 순수 알루미늄, Al-Si 합금, 두랄루민 등 세부 재질에 따라 최적 제품이 달라질 수 있습니다. 세부 피삭재를 선택하시면 더욱 정확한 추천이 가능합니다.
**세부 피삭재 선택지:**
• 순수 알루미늄 (Al 99% 이상)
• Al-Si 합금 (ADC12, A380 등)
• 두랄루민 (Al-Cu 계)
• Al-Mg 합금 (5000번대)
• 알루미늄 다이캐스팅
• 기타 알루미늄 합금
세부 재질을 모르시거나 범용으로 사용하실 경우, 현재 추천된 E5D72 시리즈가 알루미늄 전반에 무난하게 사용 가능합니다.
  [선택지: 비철금속 (26개) | 알루미늄 (26개) | 상관없음 | ⟵ 이전 단계 | 📋 지금 바로 제품 보기 (71개) …]
👤 사용자: 8mm 대신 9mm로
🤖 AI assistant: "9" 조건을 적용하면 후보가 없습니다. 현재 71개 후보에서 다른 조건을 선택해주세요.
  [선택지: 비철금속 (26개) | 알루미늄 (26개) | 상관없음 | ⟵ 이전 단계 | 📋 지금 바로 제품 보기 (71개) …]
👤 사용자: 비철금속 (26개)
🤖 AI assistant [응답 👎] [선택지 👎]: ```json
{
 "responseText": "## 알루미늄 Side Milling 가공용 추천\n\n알루미늄 소재의 Side Milling 가공용으로 **ALU-CUT for Korean Market 시리즈**의 **GED7208030** (E5D72)을 추천드립니다.\n\n---\n\n### [DB 데이터]\n\n**■ 추천 제품: GED7208030**\n- **시리즈**: E5D72 (ALU-CUT for Korean Market)\n- **형상**: Radius (코너 R형)\n- **직경**: φ8mm\n- **날 수**: 3날\n- **코팅**: Bright Finish (무코팅)\n- **소재 적합성**: 비철금속(N) — 알루미늄 가공에 최적화\n- **적용 가공**: Side Milling, Slotting, Die-Sinking, Corner Radius, Small Part, Facing\n\n**■ 매칭 근거**\n1. **직경**: 요청하신 8mm와 정확히 일치합니다 (40/40점)\n2. **소재 적합성**: 알루미늄(N군/비철금속)용으로 설계되어 100% 일치합니다 (20/20점)\n3. **날 수**: 요청하신 3날 조건과 정확히 일치합니다 (15/15점)\n4. **가공 방식**: Side Milling을 포함한 다목적 가공에 적합합니다 (8/15점)\n5. **총 매칭률**: 105점 (exact match)\n\n**■ 절삭조건** (신뢰도: 90%)\n- **절삭속도(Vc)**: 201 m/min\n- **날당이송(fz)**: 0.042 mm/tooth\n- **절삭깊이(ap)**: 1.6mm (0.2D 기준)\n- 출처: YG-1 내부 절삭조건 데이터베이스 (2건 검증)\n\n**■ 재고 및 납기**\n- **재고**: 확인할 수 없습니다\n- **납기**: 정보 없음\n- 정확한 재고/납기는 본사(032-526-0909) 또는 온라인 주문 시스템(oos.yg1.solutions)에서 확인하시기 바랍니다\n\n**■ 동일 스펙 대안 제품 (총 10개)**\n\n현재 조건에서 총 10개의 제품이 모두 동일한 스펙(φ8mm, 3날, Radius, Bright Finish)으로 매칭되었습니다. 주요 차이점은 **날 길이(LOC)**입니다:\n\n| 순위 | 제품코드 | 날 길이(LOC) | 전체 길이 | 특징 |\n|------|----------|-------------|-----------|------|\n| 1 | **GED7208030** | 30mm | 긴 날장 | 깊은 홈 가공용 |\n| 2 | E5D7208030 | 30mm | 긴 날장 | GED와 동일 스펙 |\n| 3 | GED7208020 | 20mm | 중간 길이 | 범용 가공 |\n| 4 | E5D7208020 | 20mm | 중간 길이 | 범용 가공 |\n| 5 | GED7208010 | 10mm | 짧은 날장 | 정밀 가공/강성 우선 |\n| 6 | E5D7208010 | 10mm | 짧은 날장 | 정밀 가공/강성 우선 |\n| 7 | GED7208005 | 5mm | 매우 짧음 | 정밀 모서리 가공 |\n| 8 | E5D7208005 | 5mm | 매우 짧음 | 정밀 모서리 가공 |\n| 9 | GED72080 | 표준 | 표준 길이 | 일반 Side Milling |\n| 10 | E5D72080 | 표준 | 표준 길이 | 일반 Side Milling |\n\n**선택 가이드:**\n- **깊은 홈/포켓 가공** → GED7208030, E5D7208030 (LOC 30mm)\n- **범용 가공** → GED7208020, E5D7208020 (LOC 20mm)\n- **정밀 가공/강성 중시** → GED7208010, E5D7208010 (LOC 10mm)\n- **모서리 R 가공** → GED7208005, E5D7208005 (LOC 5mm)\n\n---\n\n### [AI 보충 의견]\n\n**■ E5D72 시리즈 특징 분석**\n\nALU-CUT for Korean Market (E5D72)은 YG-1의 알루미늄 전용 엔드밀 시리즈로, 다음과 같은
  [선택지: 상위 3개 비교 | GED7208030 상세 정보 | 다른 코팅 옵션 보기 | φ8mm 외 다른 직경 | Aluminum 가공 팁 보기 …]</t>
  </si>
  <si>
    <t>🎯 의도: 알루미늄 Side Milling용 8mm 엔드밀을 2날 Radius로 추천받고 싶음
✅ 정답 행동: 2날 Radius 조건으로 필터를 바꿔 알루미늄 비철금속용 후보를 다시 좁히고, 재고/절삭조건을 기준으로 실제 추천 제품 1~3개를 제시했어야 함.
⚠️ 당시 문제: 사용자가 최종적으로 2날 추천을 원했는데, 추천 흐름이 중간에 혼선이 있었고 형식/근거가 과하게 장황했음
💬 코멘트 분석: 최종 응답이 부정확하고 선택지 처리도 만족스럽지 않았다는 불만</t>
  </si>
  <si>
    <t>최종 평가: 👎 / 응답: 👍1 👎2 총 14개 응답 / 선택지: 👍1 👎2</t>
  </si>
  <si>
    <t>tf-evt-mn8ddo8t-s81v6ev1</t>
  </si>
  <si>
    <t>RLH-0172</t>
  </si>
  <si>
    <t>스테인리스 10mm 사이드밀링용 X코팅 공구 추천 요청</t>
  </si>
  <si>
    <t>🧭 초기 조건: 문의 목적=신규 제품 추천 / 피삭재 (소재)=스테인리스 / 가공 형상=Side_Milling / 가공 방식=Milling / 공구 직경=10mm
🤖 AI assistant [응답 👎] [선택지 👎]: 스테인리스 소재, 10mm 직경으로 사이드 밀링 가공하실 제품이 현재 300개 정도 있습니다.
스테인리스 중에서도 어떤 종류인가요? (일반 스테인리스강, 300계열, 400계열, PH강 등)
  [선택지: 스테인레스강 | 스테인레스강 300 | 스테인레스강 400 | 스테인레스강(PH) | 티타늄 …]
👤 사용자: 상관없음
🤖 AI assistant [응답 👎] [선택지 👎]: 코팅 종류 선호가 있으신가요? 후보 중에 X-Coating, TiAlN, Bright Finish 등이 있습니다.
  [선택지: Y-Coating (90개) | Bright Finish (79개) | X-Coating (47개) | AlTiN (35개) | 상관없음 …]
👤 사용자: X-코팅 제품으로 날장이 10mm 이상인 제품 추천해주세요
🤖 AI assistant [응답 👎] [선택지 👎]: X-코팅 제품으로 날장 10mm 이상 조건으로 47개 제품을 찾았습니다.
추천 상위 3개:
1. **GAE53100** (X-SPEED ROUGHER) - 황삭 가공에 최적화, 빠른 재료 제거
2. **GAD52100** (TANK-POWER) - 범용 가공, 안정적인 절삭
3. **GAC25100N** (TANK-POWER) - 정밀 가공 및 마무리에 적합
스테인리스 가공 목적이 황삭인가요, 정삭인가요? 그에 따라 최적 제품을 좁혀드리겠습니다.
  [선택지: Roughing (24개) | Square (15개) | Drill Mill (8개) | 상관없음 | ⟵ 이전 단계]</t>
  </si>
  <si>
    <t>🎯 의도: 스테인리스 10mm 사이드 밀링에 맞는 X-코팅 공구 추천
✅ 정답 행동: 스테인리스/10mm/Side Milling 조건을 유지한 채, X-코팅·날장 10mm 이상 제품을 바로 필터링해 추천해야 함.  
추가로 황삭/정삭 여부와 형상(예: Square, Roughing)을 한 번에 확인해 가장 적합한 1~3개를 제시해야 함.
⚠️ 당시 문제: 상관없음이라고 한 조건을 다시 묻고, 이후에도 추천 기준이 모호하게 좁혀짐
💬 코멘트 분석: 코팅은 X-코팅으로, 날장은 10mm 이상인 제품을 원함</t>
  </si>
  <si>
    <t>최종 평가: 👎 / 응답: 👎3 총 3개 응답 / 선택지: 👎3</t>
  </si>
  <si>
    <t>tf-evt-mn5a9ius-0ncpy7cv</t>
  </si>
  <si>
    <t>RLH-0173</t>
  </si>
  <si>
    <t>알루미늄용 코너R, 브라이트 코팅 제품 탐색</t>
  </si>
  <si>
    <t>🧭 초기 조건: 문의 목적=신규 제품 추천 / 피삭재 (소재)=알루미늄 / 가공 방식=Milling / 공구 직경=10mm
🤖 AI assistant [응답 👎] [선택지 👎]: 알루미늄 소재 10mm 엔드밀 밀링 가공이시군요. 현재 424개 제품이 매칭됩니다.
알루미늄 중에서도 **연질(6061 등) / 단조 합금(7075 등) / 주조 합금(ADC12 등)** 중 어떤 종류를 가공하시나요? 소재 특성에 따라 날 형상과 코팅이 달라집니다.
  [선택지: 알루미늄 | 알루미늄 (연질) | 알루미늄 단조 합금 | 알루미늄 주조 합금 | 알루미늄 합금 …]
👤 사용자: 구리요
🤖 AI assistant [응답 👍] [선택지 👍]: "구리" 조건을 적용하면 후보가 없습니다. 현재 424개 후보에서 다른 조건을 선택해주세요.
  [선택지: 알루미늄 | 알루미늄 (연질) | 알루미늄 단조 합금 | 알루미늄 주조 합금 | 알루미늄 합금 …]
👤 사용자: Tank-power 브랜드에 대해서 설명해줘
🤖 AI assistant [응답 👍] [선택지 👍]: TANK-POWER는 YG-1의 고속 절삭용 코팅 기술이 적용된 브랜드로, 탄소강, 합금강, 스테인레스강 가공에 특화되어 높은 인성을 제공합니다. HSS 및 HSS-PM 소재 기반에 TiAlN, X-Coating 등 다양한 코팅이 적용되며, 2날부터 6날까지 다양한 날 수 구성으로 φ1~228.6mm의 넓은 직경 범위를 커버합니다. Die-Sinking, Facing, Side Milling, Slotting, Profiling 등 여러 가공 형상을 지원하며, HRC 0~35 범위의 소재 가공에 적합한 61개 시리즈로 구성되어 있습니다.
TANK-POWER 브랜드 프로필을 내부 DB에서 조회했습니다.
| 항목 | 값 |
| --- | --- |
| 브랜드 | TANK-POWER |
| 설명 | ? Designed to machine carbon steels, alloyed steels, stainless steels.&lt;br/&gt;? YG-1’s new developed TANK-POWER Coating suitable for high speed cutting. |
| 적용 소재 설명 | High Toughness for Stainless Steels, Carbon steels and Alloy Steels |
| 대표 시리즈 | E9921, E9936, E9938, E9940, E9941 외 56개 |
| 시리즈 수 | 61개 |
| 가공 타입 | Solid, undefined |
| 형상 | Die-Sinking,Facing,Side_Milling,Slotting, Die-Sinking,Facing,Side_Milling,Slotting,Small_Part, Die-Sinking,Facing,Side_Milling,Slotting,Small_Part,Trochoidal, Die-Sinking,Facing,Side_Milling,Slotting,Trochoidal, Profiling,Side_Milling 외 10개 |
| 날 수 | 2날, 3날, 4날, 5날, 6날 |
| 코팅 | Bright Finish, TiAlN, X-Coating |
| 공구 소재 | HSS, HSS-PM |
| 직경 범위 | φ1~228.6mm |
| ISO | K, M, P |
| 피삭재 | 공구강, 스테인레스강 300, 스테인레스강 400, 주철, 탄소강 외 1개 |
| HRC | 0~35 |
| 국가 | AMERICA, ASIA, EUROPE, KOREA |
| EDP 수 | 1360개 |
[Reference: YG-1 내부 DB]
  [선택지: 다른 브랜드 비교 | 시리즈 차이 보기 | 추천 제품 보기]
👤 사용자: CRX s 브랜드도 소개해주세요
🤖 AI assistant [응답 👎] [선택지 👎]: # CRX-S 브랜드 설명
**CRX-S**는 YG-1의 고성능 초경 엔드밀 시리즈입니다. 
CRX-S는 **범용 가공용**으로 설계되어 다양한 소재를 효과적으로 가공할 수 있으며, 특히 **내마모성과 인성이 우수**합니다. 
일반 강재부터 합금강, 스테인리스강 등 폭넓은 재질에 대응 가능하며, **안정적인 가공 성능과 긴 공구 수명**을 제공합니다.
현재는 후보 제품이 없지만, 이전 질문들의 조건을 조정하시거나 **"상관없음"을 선택**하시면 더 많은 제품을 확인하실 수 있습니다.
  [선택지: 쉽게 설명해줘 | 추천으로 골라줘 | 상관없음 | 다른 브랜드 비교란? | 시리즈 차이 보기란? …]
👤 사용자: Alu-power 브랜드 소개부탁
🤖 AI assistant [응답 👎] [선택지 👎]: ALU-POWER는 알루미늄 합금 가공에 특화된 YG-1의 전용 브랜드로, Bright 및 TiCN 코팅을 적용하여 거울처럼 매끄러운 표면 품질을 제공합니다. 50개의 다양한 시리즈(E5253, E5254, E5521 등)를 보유하고 있으며, 1날부터 3날까지 다양한 날 수 옵션과 φ2~177.8mm의 폭넓은 직경 범위를 제공합니다. Corner Radius, Die-Sinking, Slotting, Side Milling 등 다양한 형상으로 구성되어 있으며, 주로 알루미늄 외에도 Acrylic, 합금강, 주철 등의 소재 가공에도 활용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E5254, E5521, E5522, E5711 외 45개 |
| 시리즈 수 | 50개 |
| 가공 타입 | Solid, undefined |
| 형상 | Corner_Radius,Die-Sinking,Facing,Helical_Interpolation,Side_Milling,Slotting, Die-Sinking,Facing,Side_Milling,Slotting, Profiling,Side_Milling, Side Milling, Side_Milling,Profiling,Small_Part 외 12개 |
| 날 수 | 1날, 2날, 3날 |
| 코팅 | ALTIN, Bright Finish, TiAlN, TiCN, TiN 외 1개 |
| 공구 소재 | Carbide, HSS-PM, T15 |
| 직경 범위 | φ2~177.8mm |
| ISO | - |
| 피삭재 | Acrylic, Alloy Steels, Aluminum, Carbon Steels, Cast Iron |
| HRC | - |
| 국가 | AMERICA, ASIA, EUROPE |
| EDP 수 | 969개 |
[Reference: YG-1 내부 DB]
다시 제품 추천으로 돌아갈게요. # CRX-S 브랜드 설명
**CRX-S**는 YG-1의 고성능 초경 엔드밀 시리즈입니다. 
CRX-S는 **범용 가공용**으로 설계되어 다양한 소재를 효과적으로 가공할 수 있
  [선택지: 쉽게 설명해줘 | 추천으로 골라줘 | 상관없음 | 다른 브랜드 비교란? | 시리즈 차이 보기란? …]
👤 사용자: JAH25 시리즈의 특성 설명해줘
🤖 AI assistant [응답 👎] [선택지 👎]: JAH25 시리즈는 알루미늄 및 비철금속 전용 고속가공 엔드밀로, 3날 구성에 37도 헬릭스 각도와 코너 라운드 형상이 특징입니다. DLC 코팅이 적용되어 경면 가공이 가능하며 뛰어난 표면조도를 제공합니다. 높은 이송속도와 회전수에서도 우수한 칩 배출 성능을 발휘하며, 측면가공·슬롯가공·금형 깊은 홈 가공 등 다양한 가공에 적용 가능합니다.
JAH25 시리즈 프로필을 내부 DB에서 조회했습니다.
| 항목 | 값 |
| --- | --- |
| 시리즈 | JAH25 |
| 브랜드 | ALU-POWER HPC |
| 설명 | ALU-POWER HPC 3 Flute 37°Helix Corner Radius with Neck End mill |
| 주요 feature | Suitable for high-speed machining in aluminum and other non-ferrous materials.&lt;br/&gt;Mirror surface - Excellent surface finish.&lt;br/&gt;Excellent performance with high feed, RPM, and high chip removal. |
| 공구 타입 | Solid |
| 형상 | Side_Milling,Slotting,Die-Sinking,Corner_Radius,Small_Part,Facing,Helical_Interpolation, Corner_Radius, Corner Radius |
| 날 수 | 3날 |
| 코팅 | DLC |
| 공구 소재 | Carbide |
| 직경 범위 | φ6~20mm |
| ISO | - |
| 피삭재 | Aluminum, Copper, Non-ferrous |
| HRC | - |
| 국가 | ASIA, EUROPE |
| EDP 수 | 104개 |
[Reference: YG-1 내부 DB]
  [선택지: 다른 시리즈 비교 | 브랜드 차이 보기 | 추천 제품 보기]
👤 사용자: Corner Radius 제품 추천해줘
🤖 AI assistant [응답 👎] [선택지 👎]: 코팅 종류 선호가 있으신가요? 후보 중에 Bright Finish, DLC, X-Coating 등이 있습니다.
  [선택지: 추천으로 골라줘 | 쉽게 설명해줘 | Bright Finish (154개) | DLC (29개)란? | 상관없음]
👤 사용자: Bright Finish (154개)
🤖 AI assistant [응답 👎] [선택지 👎]: 네, Bright Finish로 좁혔습니다. 직경은 10mm로 확정할까요? 아니면 8mm, 8.5mm, 9mm, 9.5mm 중 다른 직경이 필요하신가요?
  [선택지: 8mm | 8.5mm | 9mm | 9.5mm | 10mm …]</t>
  </si>
  <si>
    <t>🎯 의도: 알루미늄 가공용 Corner Radius 제품 추천을 받는 것
✅ 정답 행동: Bright Finish를 선택한 흐름을 반영해, 10mm 직경의 알루미늄용 Corner Radius 후보를 바로 좁혀 추천했어야 함. 필요 시 JAH25 같은 적합 시리즈의 구체 제품/EDP를 제시하고, 추가 조건은 최소한으로만 확인했어야 함.
⚠️ 당시 문제: 코팅 확인에서 끝나며 실제 제품 추천으로 이어지지 않음
💬 코멘트 분석: 마지막 선택 후 바로 10mm 제품 추천을 원했음</t>
  </si>
  <si>
    <t>최종 평가: 👎 / 응답: 👍2 👎6 총 8개 응답 / 선택지: 👍2 👎6</t>
  </si>
  <si>
    <t>tf-evt-mn5g07k9-oe5hwxc9</t>
  </si>
  <si>
    <t>RLH-0174</t>
  </si>
  <si>
    <t>GMG31/GMG30 차이 비교와 추천을 원함</t>
  </si>
  <si>
    <t>🧭 초기 조건: 문의 목적=신규 제품 추천 / 피삭재 (소재)=티타늄 / 가공 형상=Helical Interpolation / 가공 방식=Milling / 공구 직경=10mm
🤖 AI assistant [응답 👍] [선택지 👍]: 티타늄 소재에 φ10mm 헬리컬 가공용 밀링커터를 찾으시는군요. 현재 220개 제품이 매칭됩니다.
티타늄 중에서도 어떤 소재인가요? 순수 티타늄인지, Ti-6Al-4V 같은 합금인지 알려주시면 더 정확한 추천이 가능합니다.
  [선택지: 내열합금 | 니켈 기반 내열합금 | 인코넬 | 철 기반 내열합금 | 코발트 기반 내열합금 …]
👤 사용자: 상관없음
🤖 AI assistant [응답 👍] [선택지 👍]: 현재 220개 후보가 있습니다. 날 수(flute) 선호가 있으신가요?
  [선택지: 4날 (132개) | 6날 (58개) | 5날 (23개) | 3날 (7개) | 상관없음 …]
👤 사용자: 4날 (132개)
🤖 AI assistant [응답 👍] [선택지 👍]: 4날로 좁혔습니다 (132개). 티타늄 가공용으로 코팅 종류 선호가 있으신가요? Y-Coating, AlTiN, TiAlN 등이 있습니다.
  [선택지: Y-Coating (82개) | T-Coating (31개) | AlTiN (9개) | K2 (7개) | 상관없음 …]
👤 사용자: GMG31시리즈와 GMG30 시리즈간의 차이는 뭐에요?
🤖 AI assistant [응답 👎] [선택지 👎]: GMG31과 GMG30은 모두 티타늄 및 난삭재 가공용 5날 코너 R 엔드밀로 동일한 브랜드(TITANOX-POWER)와 다중 헬릭스 롱 타입 구조를 가지고 있습니다. 가장 큰 차이는 적용 소재 표기 방식으로, GMG31은 ISO 규격(K, M, P, S)과 한글 피삭재명(공구강, 내열합금, 스테인레스강 등)으로 상세히 분류되어 있고 경도 범위도 HRC 0~40으로 명시되어 있습니다. 반면 GMG30은 영문 피삭재명(Alloy Steels, Carbon Steels, Cast Iron 등)으로만 표기되어 있고 ISO 규격과 HRC 정보는 없습니다. 두 제품 모두 높
GMG31 vs GMG30 시리즈를 내부 DB 기준으로 비교했습니다.
| 항목 | GMG31 | GMG30 |
| --- | --- | --- |
| 브랜드 | TITANOX-POWER | TITANOX-POWER |
| 설명 | TitaNox-Power 5 Flute&lt;br/&gt;Multiple Helix Long&lt;br/&gt;Corner Radius End mill | TitaNox-Power 5 Flute&lt;br/&gt;Multiple Helix Long&lt;br/&gt;Corner Radius End mill |
| 주요 feature | ▶ Excellent performance results and long tool life when machining&lt;br/&gt;Titanium and other tough materials.&lt;br/&gt;&lt;br/&gt;▶ This tool has high rigidity of flute so that is possible to use for&lt;br/&gt;heavy profile and high speed milling.&lt;br/&gt;&lt;br/&gt;▶ For protecting Corner chipping of end teeth, Corner Radius &amp;&lt;br/&gt;Chamfer are adopted. | ▶ Excellent performance results and long tool life when machining Titanium and other tough materials&lt;br/&gt;&lt;br/&gt;▶This tool has high rigidity of flute so that is possible to use for heavy profile and high speed milling&lt;br/&gt;&lt;br/&gt;▶For protecting Corner chipping of end teeth, Corner Radius &amp; Chamfer are adopted&lt;br/&gt;L2 |
| 공구 타입 | Solid | Solid |
| 형상 | Side_Milling,Slotting,Die-Sinking,Corner_Radius,Small_Part,Facing,Trochoidal,Helical_Interpolation, NONE, Corner Radius | Side_Milling,Slotting,Die-Sinking,Corner_Radius,Small_Part,Facing,Trochoidal,Helical_Interpolation, NONE, Corner Radius |
| 날 수 | 5날 | 5날 |
| 코팅 | Y-Coating | Y-Coating |
| 공구 소재 | Carbide | Carbide |
| 직경 범위 | φ6~25mm | φ6~25mm |
| ISO | K, M, P, S | - |
| 피삭재 | 공구강, 내열합금, 스테인레스강 300, 스테인레스강 400, 스테인레스강(PH) 외 4개 | Alloy Steels, Carbon Steels, Cast Iron, Inconel, Prehardened Steels 외 2개 |
| HRC | 0~40 | - |
[Reference: YG-1 내부 DB]
  [선택지: 다른 시리즈 비교 | 브랜드 비교 | 추천 제품 보기]</t>
  </si>
  <si>
    <t>🎯 의도: GMG31과 GMG30의 차이를 정확히 알고, 이후 추천받으려는 것
✅ 정답 행동: 두 시리즈의 차이를 내부 DB 기준으로 정확히 비교해 설명하고, 사용자의 현재 조건(티타늄, φ10, 헬리컬, 4날)에 맞는 제품 추천으로 자연스럽게 이어갔어야 함.
⚠️ 당시 문제: 시리즈 비교 설명이 지나치게 장황하고 일부 표현이 불명확했으며, 핵심 차이 요약보다 DB 나열이 중심이 됨
💬 코멘트 분석: 최종 평가는 부정적이지만, 사용자 코멘트 자체는 별도 불만 내용 없음</t>
  </si>
  <si>
    <t>tf-evt-mn5gqem7-pwm30ykt</t>
  </si>
  <si>
    <t>RLH-0175</t>
  </si>
  <si>
    <t>티타늄 10mm 코너레디우스 Y-Coating 추천 요청</t>
  </si>
  <si>
    <t>🧭 초기 조건: 문의 목적=신규 제품 추천 / 피삭재 (소재)=티타늄 / 가공 형상=Slotting / 가공 방식=Milling / 공구 직경=10mm
🤖 AI assistant: 티타늄 소재 10mm 슬로팅 가공이시군요. 현재 353개 제품이 매칭됩니다.
티타늄 소재를 좀 더 구체적으로 알려주시겠어요? 순수 티타늄인지, 티타늄 합금(Ti-6Al-4V 등)인지요?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
👤 사용자: 우선 그건 모르겠고 코너레디우스 제품 추천해줘
🤖 AI assistant: 코팅 종류 선호가 있으신가요? 후보 중에 Y-Coating, K2, TiAlN 등이 있습니다.
  [선택지: 추천으로 골라줘 | 쉽게 설명해줘 | Y-Coating (150개) | TiAlN (118개) | T-Coating (31개)]
👤 사용자: Y-Coating (150개)
🤖 AI assistant [응답 👎] [선택지 👎]: Y-Coating 코팅을 적용하니 150개 제품이 매칭됩니다. 티타늄 소재 10mm 슬로팅용 코너레디우스 제품 중에서 Y-Coating 중심으로 추천 결과를 정렬했습니다.
상위 추천 제품은 GMH59 시리즈(GMH59906, GMH59905, GMH59904, GMH59100)와 GMH57100으로, 모두 91점 이상의 높은 매칭도를 보입니다.
더 좁혀서 보고 싶으신 부분이 있으세요? 예를 들어 특정 날 수나 직경, 또는 가격대를 기준으로 필터링할 수 있습니다.
  [선택지: 상위 5개 제품 보기 | GMH59 시리즈 상세 정보 | 3날로 추가 필터링 | 직경별 가격 비교 | 다른 코팅도 함께 보기]</t>
  </si>
  <si>
    <t>🎯 의도: 티타늄 10mm 슬롯가공용 코너레디우스 제품 추천
✅ 정답 행동: 코너레디우스 조건을 반영해 관련 후보를 우선 추천하고, 바로 상위 제품명/시리즈를 제시했어야 함. 추가로 날 수·코팅·가격 중 어떤 기준으로 더 좁힐지 간단히 물어봤어야 함.
⚠️ 당시 문제: 특이사항 없음
💬 코멘트 분석: 코너레디우스 추천을 원했고, 이후 Y-Coating으로 필터링을 선택함</t>
  </si>
  <si>
    <t>최종 평가: 👎 / 응답: 👎2 총 4개 응답 / 선택지: 👎2</t>
  </si>
  <si>
    <t>tf-evt-mn61i3ye-wajx0qsg</t>
  </si>
  <si>
    <t>RLH-0176</t>
  </si>
  <si>
    <t>알루미늄 4날 제품 추천 중 오류 발생</t>
  </si>
  <si>
    <t>🧭 초기 조건: 문의 목적=신규 제품 추천 / 피삭재 (소재)=알루미늄 / 가공 형상=Side_Milling / 가공 방식=Milling / 공구 직경=10mm
🤖 AI assistant [응답 👍] [선택지 👍]: 선택하신 소재는 ISO N (비철)군입니다. 세부 피삭재를 선택해주세요.
  [선택지: 비철금속 (56개) | 알루미늄 (66개) | 알루미늄 합금 (10개) | 상관없음 | 📋 지금 바로 제품 보기 (424개) …]
👤 사용자: ✨ AI 상세 분석
🤖 AI assistant [응답 👍] [선택지 👍]: 현재 추천된 10개 제품은 모두 **ALU-CUT 시리즈**로, 알루미늄 측면 가공에 최적화되어 있습니다.
**주요 특징:**
- **3날 구성**: 칩 배출이 우수하고 고속 가공에 유리
- **45° 나선각**: 절삭 저항 감소, 표면 조도 향상
- **무코팅 (Bright Finish)**: 알루미늄 특유의 구성인선 방지, 날카로운 절삭날 유지
**시리즈별 차이:**
- **E5E83 (Long Neck, #1~6)**: 깊은 홈/포켓 가공용, 돌출 길이 3단계
- **E5D74 (WAVE-CUT, #7~8)**: 물결형 날로 진동 억제, 안정적인 황삭
- **E5D72 (Corner Radius, #9~10)**: 모서리 R형상으로 공구 수명 연장
가공 깊이와 표면 요구사항에 따라 선택하시면 됩니다!
  [선택지: 쉽게 설명해줘 | 추천으로 골라줘 | 상관없음 | 비철금속이란? | 알루미늄이란? …]
👤 사용자: 추천으로 골라줘
🤖 AI assistant [응답 👍] [선택지 👍]: 현재 424개 후보가 있습니다. 날 수(flute) 선호가 있으신가요?
  [선택지: 추천으로 골라줘 | 3날 (211개)란? | 4날 (147개)란? | 3날 (211개) | 4날 (147개) …]
👤 사용자: 4날 (147개)
🤖 AI assistant [응답 👍] [선택지 👍]: 공구 세부 타입이 중요한가요? Square (127개), Roughing (11개), Corner Rounding (5개) 등이 있습니다.
  [선택지: Square (127개) | Roughing (11개) | Corner Rounding (5개) | Drill Mill (4개) | 상관없음 …]
👤 사용자: 📋 지금 바로 제품 보기 (147개)
🤖 AI assistant [응답 👎]: 오류가 발생했습니다. 다시 시도해주세요.</t>
  </si>
  <si>
    <t>🎯 의도: 알루미늄 측면가공용 4날 공구 추천을 받으려 함
✅ 정답 행동: 4날 필터 기준으로 제품 목록을 정상 표시하거나, 목록 조회 불가 시 대체 가능한 4날 추천 제품 1~3개와 특징을 안내했어야 함.  
이전 선택 흐름(알루미늄/Side Milling/4날)을 유지한 채 다음 단계로 자연스럽게 연결해야 함.
⚠️ 당시 문제: “지금 바로 제품 보기” 선택 시 오류가 발생해 추천을 마무리하지 못함
💬 코멘트 분석: 최종 평가가 👎이며, 5회 중 1회 오류로 전체 응답 품질이 떨어졌다는 불만이 핵심</t>
  </si>
  <si>
    <t>최종 평가: 👎 / 응답: 👍4 👎1 총 5개 응답 / 선택지: 👍4</t>
  </si>
  <si>
    <t>tf-ses-1774578293355-5</t>
  </si>
  <si>
    <t>RLH-0177</t>
  </si>
  <si>
    <t>2날 Radius로 재추천해달라고 요청</t>
  </si>
  <si>
    <t>🧭 초기 조건: 문의 목적=신규 제품 추천 / 피삭재 (소재)=알루미늄 / 가공 형상=Side_Milling,Side Milling / 가공 방식=Milling / 공구 직경=8mm
🤖 AI assistant: 현재 406개 후보가 있습니다. 날 수(flute) 선호가 있으신가요?
  [선택지: 3날 (193개) | 4날 (140개) | 2날 (43개) | 8날 (7개) | 상관없음 …]
👤 사용자: 3날 (193개)
🤖 AI assistant: 네, 3날 조건을 적용하여 193개의 제품으로 좁혀졌습니다.
알루미늄 가공용 φ8mm 3날 엔드밀 중에서, 공구의 **형상(툴타입)**을 선택하시면 더 정확한 추천이 가능합니다.
현재 후보 제품의 형상 분포는 다음과 같습니다:
• **Square (스퀘어)** — 98개: 평면 가공, 측면 가공에 적합한 기본 형상입니다. 날 끝이 직각이라 바닥면을 평평하게 가공할 수 있습니다.
• **Radius (라디우스)** — 71개: 날 끝에 R(모서리 반경)이 있어 공구 수명이 길고 측면 가공 시 표면조도가 우수합니다. 코너부 강도가 높아 황삭/중삭에 유리합니다.
• **Roughing (러핑)** — 20개: 날에 홈(세레이션)이 있어 절삭 저항을 분산시켜 대량의 재료를 빠르게 제거하는 황삭 전용 공구입니다.
• 기타 형상 — 4개: Ball, Taper 등 특수 형상
**형상 선택 가이드:**
- 평면/바닥면 마무리 가공 → Square
- 측면 가공 중심, 공구 수명 중시 → Radius
- 큰 재료 제거량, 황삭 작업 → Roughing
어떤 형상을 원하시나요? 또는 "상관없음"을 선택하시면 전체 193개 제품 중에서 추천해드리겠습니다.
  [선택지: Square (98개) | Radius (71개) | Roughing (20개) | Ball (3개) | 상관없음 …]
👤 사용자: 각각에 대해서 설명
🤖 AI assistant [응답 👍] [선택지 👍]: 알루미늄 가공용 φ8mm 3날 엔드밀의 **형상별 특징**을 설명드리겠습니다.
---
### 🟦 **Square (스퀘어)** — 98개
- **형상**: 날 끝이 직각(90°)인 평날 엔드밀
- **용도**: 측면 가공(Side Milling), 바닥 평면 가공, 슬롯 가공
- **장점**: 날카로운 모서리로 정확한 직각 코너 가공, 범용성 높음
- **추천**: 일반적인 포켓 가공, 윤곽 가공에 가장 많이 사용
---
### 🟨 **Radius (R엔드밀)** — 71개
- **형상**: 날 끝 모서리에 R(라운드) 처리
- **용도**: 측면 가공 시 공구 수명 연장, 3D 곡면 가공
- **장점**: 모서리 결함 방지, 공구 마모 감소, 측면 가공 시 진동 억제
- **추천**: 고속 가공, 공구 수명 중시, 입체 형상 가공
---
### 🟩 **Roughing (러핑)** — 20개
- **형상**: 날에 웨이브(wave) 또는 톱니 형태 홈 가공
- **용도**: 황삭(거친 가공), 대량 절삭
- **장점**: 칩을 잘게 쪼개 배출 원활, 절삭 저항 분산, 높은 이송 가능
- **추천**: 빠른 재료 제거, 다듬질 전 황삭 공정
---
### 🟥 **Ball (볼 엔드밀)** — 3개
- **형상**: 날 끝이 반구(hemisphere) 형태
- **용도**: 3D 곡면 가공, 금형 다듬질
- **장점**: 부드러운 곡면 가공, 정밀 윤곽 가공
- **추천**: 자유 곡면, 금형 마무리 가공
---
어떤 형상으로 좁혀드릴까요? 😊
  [선택지: 쉽게 설명해줘 | 추천으로 골라줘 | 상관없음 | Square란? | Radius란? …]
👤 사용자: 램핑 가공에서는 어떤 형상이 좋은가
🤖 AI assistant: 램핑(Ramping) 가공에 적합한 엔드밀 형상에 대해 말씀드리겠습니다.
[AI 보충 의견]
램핑 가공은 Z축 방향으로 경사지게 하강하면서 절삭하는 방식으로, 다음과 같은 형상이 유리합니다:
**1. 코너 R형(Radius) — 현재 선택하신 형상 ✓**
- 바닥 코너에 R이 있어 공구 끝단 집중 응력 분산
- 급격한 Z축 하강 시 공구 파손 위험 최소화
- 알루미늄처럼 부드러운 소재에서 표면조도 우수
- **램핑 가공에 가장 적합한 형상입니다**
**2. 볼형(Ball)**
- 완전한 구형으로 접촉면 분산 효과 최대
- 곡면 가공 겸용 시 선택
- 하지만 측면 가공 시 절삭날이 적어 효율 저하
**3. Square형**
- 바닥이 평평해 램핑 시 끝단에 충격 집중
- 얕은 경사 램핑(경사각 2-3° 이하)에만 권장
- 알루미늄에서는 끝날 치핑 위험
[DB 데이터]
현재 표시된 상위 제품들은 모두 **Radius형**으로, 램핑 가공에 최적화된 형상입니다:
- E5D72 시리즈: ALU-CUT 전용 설계
- 3날 구조로 칩 배출 공간 확보
- 알루미늄 가공용 Bright Finish
**결론**: 고객님께서 이미 선택하신 **Radius형이 램핑 가공에 가장 적합**합니다. 현재 필터 조건(3날 + Radius)을 유지하시는 것이 최선입니다.
━━━━━━━━━━━━━━━━━━━━━━
그럼 세부 피삭재 선택으로 돌아가겠습니다.
알루미늄 계열 중 가공하실 소재를 선택해주세요:
• **순 알루미늄(A1000)**: 1000번대 합금, 무른 소재
• **두랄루민(A2000)**: 2000번대, Cu 함유, 강도↑
• **알루미늄-망간(A3000)**: 3000번대, 일반 구조재
• **실루민(A4000)**: 4000번대, Si 함유, 주조용
• **알루미늄-마그네슘(A5000)**: 5000번대, 내식성↑
• **알루미늘-마그네슘-규소(A6000)**: 6000번대, 압출재 (가장 범용)
• **알루미늄-아연(A7000)**: 7000번대, 초고강도
• **기타 알루미늄**: 범용 선택
가장 많이 사용되는 것은 **6000번대(A6061 등)**입니다.
  [선택지: 비철금속 (26개) | 알루미늄 (26개) | 상관없음 | ⟵ 이전 단계 | 📋 지금 바로 제품 보기 (71개) …]
👤 사용자: 비철금속 (26개)
🤖 AI assistant: ```json
{
 "responseText": "## 알루미늄 Side Milling 가공용 추천 제품\n\n고객님의 가공 조건(알루미늄, Side Milling, φ8mm)에 최적화된 **ALU-CUT 시리즈의 GED7208030 (E5D72)**을 추천드립니다.\n\n---\n\n### [DB 데이터]\n\n**■ 1순위 제품: GED7208030 (E5D72 시리즈)**\n\n**제품 스펙**\n- **브랜드**: ALU-CUT for Korean Market\n- **시리즈**: E5D72\n- **형상**: Radius (코너 R 형상)\n- **직경**: φ8mm\n- **날 수**: 3날\n- **코팅**: Bright Finish (무코팅)\n- **적합 소재**: 비철금속(N군) - 알루미늄, 구리, 황동 등\n\n**매칭 근거**\n이 제품은 고객님의 요구사항과 **100% 정확하게 일치**(105/105점)합니다:\n\n1. **직경 일치** (40/40pt): 요청하신 φ8mm와 정확히 동일합니다.\n\n2. **소재 최적화** (20/20pt): 비철금속(N군) 전용 설계로, 알루미늄 가공에 특화되어 있습니다. ALU-CUT 브랜드는 YG-1의 알루미늄 전용 라인으로, 칩 배출성과 표면조도에서 우수한 성능을 보입니다.\n\n3. **날 수 최적** (15/15pt): 3날 구조는 알루미늄처럼 연한 소재에서 칩 배출 공간을 충분히 확보하면서도, 강성을 유지하는 최적의 구성입니다. 4날 이상은 칩 막힘 위험이 있고, 2날은 강성이 부족할 수 있습니다.\n\n4. **가공 방식 적합** (8/15pt): Side Milling, Slotting, Corner Radius, Facing 등 다양한 가공이 가능합니다. 특히 Radius 형상은 램핑 가공 시 코너 파손 위험을 줄여주고, 측면 가공 시 표면 품질을 향상시킵니다.\n\n**절삭조건 (신뢰도 90%)**\n데이터베이스에 등록된 절삭조건 2건 기준:\n- **절삭속도(Vc)**: 201 m/min\n- **날당이송(fz)**: 0.042 mm/tooth\n- **절입깊이(ap)**: 0.2D (= 1.6mm)\n\n이 조건은 일반 알루미늄 합금(A6061, A7075 등) 기준이며, 주조 알루미늄이나 고경도 합금은 속도를 10-20% 낮추시는 것을 권장합니다.\n\n**재고 정보**\n현재 재고 정보를 확인할 수 없습니다. 정확한 재고와 납기는 본사(032-526-0909) 또는 온라인 주문 시스템(oos.yg1.solutions)에서 확인하실 수 있습니다.\n\n---\n\n### [AI 보충 의견]\n\n**■ 왜 Radius 형상인가?**\n\n고객님께서 램핑 가공(경사 하강)을 고려하신다면, Radius 형상은 매우 적절한 선택입니다:\n\n1. **코너 강성**: R 형상은 날끝 코너의 단면적을 증가시켜 Square(평날) 대비 파손 위험을 50% 이상 감소시킵니다. 특히 램핑 시 Z축 방향 부하가 집중되는데, R 코너가 이를 분산시킵니다.\n\n2. **표면 품질**: 측면 가공(Side Milling) 시 R 코너는 공작물 표면에 미세한 아치형 프로파일을 남기는데, 이는 Square 대비 표면조도(Ra)를 10-30% 개선합니다.\n\n3. **공구 수명**: 날끝 집중 하중이 분산되어 Square 대비 공구 수명이 1.5-2배 연장됩니다.\n\n**■ 무코팅(Bright Finish) 선택 이유**\n\n알루미늄 가공에서는 코팅이 없는 것이 오히려 유리합니다:\n- **칩 용착 방지**: TiAlN 등 코팅은 알루미늄과 화학 반응으로 인해 칩이 날에 달라붙는(Built-up Edge) 현상을 유발할
  [선택지: 상위 3개 비교 | GED7208030 상세 정보 | 다른 코팅 옵션 보기 | φ8mm 외 다른 직경 | Aluminum 가공 팁 보기 …]
👤 사용자: 3날 말고 2날로 추천
🤖 AI assistant: 알겠습니다. 3날 대신 2날로 변경했습니다.
공구 세부 타입이 중요한가요? Square (24개), Drill Mill (6개), Radius (4개) 등이 있습니다.
  [선택지: Square (24개) | Drill Mill (6개) | Radius (4개) | Ball (3개) | 상관없음 …]
👤 사용자: Radius (4개)
🤖 AI assistant: ```json
{
 "responseText": "## 알루미늄 측면 가공용 2날 Radius 엔드밀 추천\n\n알루미늄 측면 가공(Side Milling)용으로 **ALU-POWER E5930080**을 추천드립니다.\n\n---\n\n### [DB 데이터]\n\n**■ 추천 제품: E5930080 (ALU-POWER 시리즈)**\n\n**제품 사양**\n- **시리즈**: ALU-POWER E5930\n- **형상**: Radius (코너 R형)\n- **직경**: φ8mm\n- **날 수**: 2날\n- **코팅**: Bright Finish (무코팅 고광택 마감)\n- **적합 소재**: N군 (비철금속 - 알루미늄, 구리 등)\n- **재고**: 재고 있음\n- **납기**: 정보 없음 (본사 032-526-0909 문의 필요)\n\n**매칭 근거 (96/100점, exact match)**\n1. **직경 일치 (40/40점)**: 요청하신 8mm와 정확히 일치합니다.\n2. **소재 최적화 (20/20점)**: ALU-POWER 시리즈는 알루미늄 전용 설계로, N군(비철금속) 태그를 가지고 있어 요청 소재와 완벽하게 매칭됩니다.\n3. **날 수 일치 (15/15점)**: 2날 구조로 칩 배출이 원활하며, 알루미늄 가공 시 절삭 저항을 최소화합니다.\n4. **가공 방식 적합 (8/15점)**: Side Milling(측면 가공) 외에도 Slotting, Corner Radius, Facing 등 다양한 가공이 가능합니다.\n5. **형상 일치**: Radius 형상으로 코너 R 가공에 적합합니다.\n\n**절삭조건**: 현재 데이터베이스에서 E5930080의 상세 절삭조건(Vc, fz, ap, ae)은 확인되지 않습니다. 카탈로그 또는 기술지원팀(032-526-0909)을 통해 확인하시기 바랍니다.\n\n---\n\n### [AI 보충 의견]\n\n**■ 왜 이 제품인가?**\n\nALU-POWER E5930은 알루미늄 가공에 특화된 YG-1의 대표 시리즈입니다. 2날 설계는 알루미늄처럼 연성이 큰 소재에서 다음과 같은 장점을 제공합니다:\n\n1. **칩 배출 최적화**: 넓은 플루트(홈) 공간으로 긴 칩이 원활하게 배출되어 재절삭을 방지합니다.\n2. **절삭 저항 감소**: 3날 대비 날당 부하가 커지지만, 알루미늄의 낮은 경도로 인해 문제없이 고속 가공이 가능합니다.\n3. **공구 수명**: Bright Finish는 알루미늄과의 친화성이 낮아 용착(Built-up Edge)을 최소화하여 공구 수명을 연장합니다.\n\n**측면 가공(Side Milling) 적용 팁**:\n- **경사날 설계**: ALU-POWER 시리즈는 일반적으로 고경사각(High Helix)을 채택하여 측면 가공 시 절삭력을 축방향으로 분산시켜 진동을 억제합니다.\n- **Radius 형상**: 코너 R이 있어 직각 코너 대비 응력 집중이 적고, 표면 조도가 우수합니다.\n- **쿨런트**: 데이터상 내부 쿨런트홀 정보는 없으나, 외부 쿨런트를 충분히 공급하면 칩 배출과 냉각 효과를 극대화할 수 있습니다.\n\n**■ 대안 제품 비교**\n\n현재 조건(2날, Radius, φ8mm 알루미늄용)에서 6개 제품이 매칭되었으며, 상위 2개는 다음과 같습니다:\n\n**2순위: E5909080 (ALU-POWER E5909) - 96점**\n- **차이점**: E5930과 동일한 ALU-POWER 시리즈이지만, E5909는 날장 길이나 전체 길이가 다를 수 있습니다(상세 스펙 미확인).\n- **선택 기준**: 가공 깊이(ap)가 깊다면 E5909의 날장이 더 길 가능성이 있으므로 카탈로그 확인이
  [선택지: 상위 3개 비교 | E5930080 상세 정보 | 다른 코팅 옵션 보기 | 시리즈 차이 설명해줘 (E5930 vs E5909) | φ8mm 외 다른 직경 …]
👤 사용자: 형상 가공 중에서 램핑에 적절한건 어떤것인가
🤖 AI assistant: 선택하신 소재는 ISO N (비철)군입니다. 세부 피삭재를 선택해주세요.
  [선택지: 알루미늄 (5개) | 알루미늄 합금 (5개) | 상관없음 | ⟵ 이전 단계 | 📋 지금 바로 제품 보기 (43개) …]
👤 사용자: 알루미늄 (5개)
🤖 AI assistant [응답 👎] [선택지 👎]: "알루미늄" 조건을 적용하면 후보가 없습니다. 현재 6개 후보에서 다른 조건을 선택해주세요.
  [선택지: ⟵ 이전 단계 | 처음부터 다시 | 📋 지금 바로 제품 보기 (6개) | ✨ AI 상세 분석]</t>
  </si>
  <si>
    <t>🎯 의도: 알루미늄 φ8mm 측면가공용 공구를 2날 Radius로 추천받기
✅ 정답 행동: 2날 조건으로 필터를 바꿔 알루미늄/Side Milling/φ8mm/Radius에 맞는 후보를 다시 추천했어야 함. 추천 시 제품명, 매칭 근거, 절삭조건을 함께 간단히 제시해야 함.
⚠️ 당시 문제: 사용자 요청을 “3날→2날 변경”으로만 처리했고, 최종 추천이 아닌 중간 선택지 단계로 응답함
💬 코멘트 분석: 최종 평가가 나쁘므로, 사용자는 2날 재추천 자체는 원했으나 응답이 완성되지 않은 점을 불만으로 본 것임</t>
  </si>
  <si>
    <t>최종 평가: 👎 / 응답: 👍1 👎1 총 9개 응답 / 선택지: 👍1 👎1</t>
  </si>
  <si>
    <t>tf-evt-mn8d8rjo-qzss3cgq</t>
  </si>
  <si>
    <t>RLH-0178</t>
  </si>
  <si>
    <t>부산 영업소 유무를 문의했으나 상담범위 밖 안내</t>
  </si>
  <si>
    <t>🧭 초기 조건: 문의 목적=신규 제품 추천 / 피삭재 (소재)=알루미늄 / 가공 방식=Milling / 공구 직경=10mm
🤖 AI assistant [응답 👍] [선택지 👍]: 알루미늄 소재용 φ10mm 밀링 공구 찾으시는군요. 현재 424개 제품이 매칭됩니다.
알루미늄 세부 종류를 알려주시면 더 정확한 추천이 가능합니다. 연질/단조/주조 중 어떤 알루미늄인가요? (모르시면 '상관없음' 선택)
  [선택지: 알루미늄 | 알루미늄 (연질) | 알루미늄 단조 합금 | 알루미늄 주조 합금 | 알루미늄 합금 …]
👤 사용자: 상관없음
🤖 AI assistant [응답 👍] [선택지 👍]: 알겠습니다. 그럼 날 수(Flute) 선호도는 어떠신가요? 2날, 3날, 4날 중에서 특별히 원하시는 게 있으신가요?
  [선택지: Bright Finish (154개) | X-Coating (32개) | DLC (29개) | UNCOATED (18개) | 상관없음 …]
👤 사용자: ALu-power 랑 Alu-power HPC의 차이점은 뭐야?
🤖 AI assistant [응답 👍] [선택지 👍]: # Coating 선택 안내
현재 **ALu-power**와 **Alu-power HPC** 중 어떤 코팅을 선택할지 고민 중이시군요.
**ALu-power**는 알루미늄 가공용 기본 코팅으로 범용성이 높고, **Alu-power HPC**는 High Performance Cutting의 약자로 더 높은 절삭 속도와 내마모성을 제공하는 고성능 버전입니다. HPC는 특히 고속 가공이나 장시간 연속 가공 시 공구 수명이 더 길어지는 장점이 있습니다.
작업 조건(절삭 속도, 생산량)에 따라 선택하시면 되며, **특별히 선호하지 않으시면 "상관없음"을 선택**하셔도 됩니다.
  [선택지: 쉽게 설명해줘 | 추천으로 골라줘 | 상관없음 | Bright Finish란? | DLC란? …]
👤 사용자: 와이지원 부산에 영업소가 있나요?
🤖 AI assistant [응답 👎] [선택지 👎]: 안녕하세요! 😊
YG-1(와이지원)의 부산 영업소 관련 문의를 주셨네요. 
저는 YG-1의 **절삭공구 제품 추천 및 기술 상담**을 전문으로 하는 AI 어시스턴트입니다. 제품 사양, 가공 조건, 공구 선택 등에 대해서는 상세히 도와드릴 수 있지만, **영업소 위치, 연락처, 조직 정보** 등은 제 전문 영역 밖입니다.
**부산 영업소 문의는 다음 방법을 추천드립니다:**
- YG-1 공식 홈페이지(www.yg1.kr) → 고객지원 → 영업소 안내
- YG-1 고객센터: 1588-1592
- 또는 홈페이지 내 '영업망' 또는 '오시는 길' 메뉴 확인
절삭공구 선택이나 가공 관련 질문이 있으시면 언제든 도와드리겠습니다! 🔧
[Reference: AI 지식 추론 - 조직/영업망 정보는 공식 채널 안내]
  [선택지: Bright Finish | DLC | X-Coating | 상관없음]</t>
  </si>
  <si>
    <t>🎯 의도: YG-1 부산 영업소가 있는지 확인하려는 것
✅ 정답 행동: 부산 영업소 여부를 공식 정보 기준으로 짧게 확인하거나, 확인 불가 시 정확한 문의 경로를 안내해야 함. 절삭공구 상담 외의 조직/영업망 정보는 공식 홈페이지·고객센터 안내로 연결하되, 답변은 간결하고 직접적으로 제공해야 함.
⚠️ 당시 문제: 제품 추천 상담이 아닌 조직 정보 문의에 장황하게 범위 외 안내를 함
💬 코멘트 분석: 선택지/응답 평가는 대체로 좋았고 최종 평가는 부정적이었다는 점이 핵심</t>
  </si>
  <si>
    <t>tf-evt-mn4u22tf-2bi8vmrp</t>
  </si>
  <si>
    <t>RLH-0179</t>
  </si>
  <si>
    <t>티타늄 10mm 슬로팅 공구 추천 중 추가조건 확인</t>
  </si>
  <si>
    <t>🧭 초기 조건: 문의 목적=신규 제품 추천 / 피삭재 (소재)=티타늄 / 가공 형상=Slotting / 가공 방식=Milling / 공구 직경=10mm
🤖 AI assistant [응답 👍] [선택지 👍]: 티타늄 소재를 10mm 엔드밀로 슬로팅 가공하시는군요. 현재 353개 제품이 매칭됩니다.
티타늄의 세부 종류를 알려주시면 더 정확한 추천이 가능합니다. 순수 티타늄인가요, 아니면 Ti-6Al-4V 같은 티타늄 합금인가요?
  [선택지: 내열합금 | 니켈 기반 내열합금 | 인코넬 | 철 기반 내열합금 | 코발트 기반 내열합금 …]
👤 사용자: 상관없음
🤖 AI assistant [응답 👎] [선택지 👎]: 코팅은 어떤 걸 선호하시나요? (Y-Coating, TiAlN, 무코팅 등)
  [선택지: 4날 (200개) | 6날 (51개) | 3날 (41개) | 5날 (32개) | 상관없음 …]</t>
  </si>
  <si>
    <t>🎯 의도: 티타늄 10mm 슬롯 가공용 신규 제품을 추천받고 싶음
✅ 정답 행동: 사용자가 소재 세부를 “상관없음”으로 답했으므로, 불필요한 추가 질문보다 바로 추천 조건을 확정해 후보를 제시했어야 함. 최소한 티타늄 기준으로 코팅/날수/가공조건 중 핵심 한두 개를 정리해 1차 추천을 진행해야 함.
⚠️ 당시 문제: 소재 세부 확인 뒤에 또 다른 확인 질문만 이어져 추천이 지연됨
💬 코멘트 분석: 사용자는 추가 질문보다 추천 진행을 원함</t>
  </si>
  <si>
    <t>최종 평가: 👎 / 응답: 👍1 👎1 총 2개 응답 / 선택지: 👍1 👎1</t>
  </si>
  <si>
    <t>tf-evt-mn4veqlt-p25ohia3</t>
  </si>
  <si>
    <t>RLH-0180</t>
  </si>
  <si>
    <t>부산 영업소 문의 후 제품 추천으로 복귀</t>
  </si>
  <si>
    <t>🧭 초기 조건: 문의 목적=신규 제품 추천 / 피삭재 (소재)=알루미늄 / 가공 방식=Milling / 공구 직경=10mm
🤖 AI assistant [응답 👍] [선택지 👍]: 알루미늄 소재에 직경 10mm 밀링 공구를 찾으시는군요. 현재 424개 제품이 매칭됩니다.
알루미늄 중에서도 어떤 종류인가요? 연질 알루미늄인지, 주조 합금인지, 단조 합금인지에 따라 날 형상과 코팅이 달라집니다.
  [선택지: 알루미늄 | 알루미늄 (연질) | 알루미늄 단조 합금 | 알루미늄 주조 합금 | 알루미늄 합금 …]
👤 사용자: 상관없음
🤖 AI assistant [응답 👍] [선택지 👍]: 알겠습니다. 그럼 날 수(Flute) 선호는 있으신가요? 2날, 3날 중 선택하시면 됩니다. 날 수가 적을수록 칩 배출이 좋고, 많을수록 면조도가 좋습니다.
  [선택지: Bright Finish (154개) | X-Coating (32개) | DLC (29개) | UNCOATED (18개) | 상관없음 …]
👤 사용자: Alu-power랑 Alupower HPC 의 차이가 뭐에요?
🤖 AI assistant [응답 👍] [선택지 👍]: ALU-POWER와 ALU-POWER HPC는 모두 알루미늄 가공용 브랜드이지만, 몇 가지 중요한 차이가 있습니다. 가장 큰 차이는 날 수로, ALU-POWER는 1날/2날/3날의 다양한 옵션을 제공하는 반면 ALU-POWER HPC는 3날만 제공하며 고능률 가공에 특화되어 있습니다. 코팅 측면에서 ALU-POWER는 ALTIN, TiCN, TiN 등 5가지 이상의 다양한 코팅을 제공하지만, ALU-POWER HPC는 DLC 코팅만 사용하여 비철금속 가공에 최적화되었습니다. 또한 ALU-POWER는 50개 시리즈로 Carbide/HSS-PM/T15 소재를 포함해 φ
ALU-POWER vs ALU-POWER HPC 브랜드를 내부 DB 기준으로 비교했습니다.
| 항목 | ALU-POWER | ALU-POWER HPC |
| --- | --- | --- |
| 설명 | ? Bright and TiCN Coated&lt;br/&gt;? For Aluminum Alloys&lt;br/&gt;? Mirror surface ? Excellent surface Finishes | ? 3 Flute&lt;br/&gt;? Square End &amp; Corner Radius&lt;br/&gt;? Standard and Extended Length&lt;br/&gt;? Coated and Uncoated |
| 적용 소재 설명 | For Aluminum Alloys | For Aluminium, Aluminum Die Cast, Non-ferrous Alloys and Plastics |
| 대표 시리즈 | E5253, E5254, E5521, E5522, E5711 외 45개 | E5H22, E5H23, E5H24, E5H25, E5I36 외 13개 |
| 시리즈 수 | 50개 | 18개 |
| 가공 타입 | Solid, undefined | Solid, undefined |
| 형상 | Corner_Radius,Die-Sinking,Facing,Helical_Interpolation,Side_Milling,Slotting, Die-Sinking,Facing,Side_Milling,Slotting, Profiling,Side_Milling, Side Milling, Side_Milling,Profiling,Small_Part 외 12개 | Corner_Radius,Die-Sinking,Facing,Helical_Interpolation,Side_Milling,Slotting, Corner_Radius,Die-Sinking,Helical_Interpolation,Ramping,Side_Milling,Slotting,Taper_Side_Milling,Trochoidal, Die-Sinking,Facing,Side_Milling,Slotting, Die-Sinking,Helical_Interpolation,Ramping,Side_Milling,Slotting,Taper_Side_Milling,Trochoidal, Side_Milling,Slotting,Corner_Radius,Trochoidal 외 6개 |
| 날 수 | 1날, 2날, 3날 | 3날 |
| 코팅 | ALTIN, Bright Finish, TiAlN, TiCN, TiN 외 1개 | DLC |
| 공구 소재 | Carbide, HSS-PM, T15 | Carbide |
| 직경 범위 | φ2~177.8mm | φ3~177.8mm |
| ISO | - | - |
| 피삭재 | Acrylic, Alloy Steels, Aluminum, Carbon Steels, Cast Iron | Aluminum, Copper, Non-ferrous |
| HRC | - | - |
[Reference: YG-1 내부 DB]
  [선택지: 다른 브랜드 비교 | 시리즈 비교 | 추천 제품 보기]
👤 사용자: 부산에 영업소가 있나요?
🤖 AI assistant [응답 👎] [선택지 👎]: 부산영업소 — 주소: 부산광역시 사상구 감전천로 248 (감전동 145-56) (우.46989) / 전화: 051-314-0985
다시 제품 추천으로 돌아갈게요. ALU-POWER와 ALU-POWER HPC는 모두 알루미늄 가공용 브랜드이지만, 몇 가지 중요한 차이가 있습니다. 가장 큰 차이는 날 수로, ALU-POWER는 1날/2날/3날의
  [선택지: 다른 브랜드 비교 | 시리즈 비교 | 추천 제품 보기]</t>
  </si>
  <si>
    <t>🎯 의도: 부산에 영업소가 있는지 확인하고, 다시 제품 추천 흐름으로 이어가려 함
✅ 정답 행동: 부산 영업소가 있는지 간단히 확인해 주소/전화 등 핵심 정보만 답해야 함. 이후에는 제품 추천 맥락으로 자연스럽게 복귀해 사용자의 현재 추천 의도를 다시 확인해야 함.
⚠️ 당시 문제: 영업소 답변 뒤에 장황한 제품 비교를 반복해 맥락이 흔들림
💬 코멘트 분석: 최종 평가는 부정적이었고, 영업소 문의에 대한 답은 받았지만 대화 흐름이 과도하게 제품 설명으로 되돌아간 점이 불만 핵심</t>
  </si>
  <si>
    <t>tf-evt-mn4wmz94-7mnspwmg</t>
  </si>
  <si>
    <t>RLH-0181</t>
  </si>
  <si>
    <t>알루미늄 φ10 밀링용 ALU-POWER와 HPC 차이 문의</t>
  </si>
  <si>
    <t>🧭 초기 조건: 문의 목적=신규 제품 추천 / 피삭재 (소재)=알루미늄 / 가공 방식=Milling / 공구 직경=10mm
🤖 AI assistant [응답 👍]: 알루미늄 소재 φ10mm 밀링용 엔드밀이시군요. 현재 424개 제품이 매칭됩니다.
알루미늉 중에서도 **연질, 단조 합금, 주조 합금** 등 세부 소재에 따라 날 설계가 달라집니다. 어떤 알루미늄을 가공하시나요?
  [선택지: 알루미늄 | 알루미늄 (연질) | 알루미늄 단조 합금 | 알루미늄 주조 합금 | 알루미늄 합금 …]
👤 사용자: 상관없음
🤖 AI assistant: 코팅 종류 선호가 있으신가요? 후보 중에 Bright Finish, DLC, X-Coating 등이 있습니다.
  [선택지: Bright Finish (154개) | X-Coating (32개) | DLC (29개) | UNCOATED (18개) | 상관없음 …]
👤 사용자: Alu power와 alupower hpc의 차이점은 뭔가요?
🤖 AI assistant [응답 👎] [선택지 👎]: ALU-POWER는 알루미늄 합금 가공용 브랜드로 1날/2날/3날의 다양한 날 수 옵션을 제공하며, ALTIN, TiCN, TiN 등 5종 이상의 코팅과 초경 외에 HSS-PM, T15 등 다양한 공구 소재를 사용합니다. ALU-POWER HPC는 알루미늄, 알루미늄 다이캐스트, 비철합금 및 플라스틱용으로 3날만 제공되며, DLC 코팅과 초경 소재만 사용하는 보다 특화된 제품군입니다. ALU-POWER가 50개 시리즈로 φ2mm부터 제공되는 반면, ALU-POWER HPC는 18개 시리즈로 φ3mm부터 시작하며 HPC(High Performance Cutting) 특성에 맞
ALU-POWER vs ALU-POWER HPC 브랜드를 내부 DB 기준으로 비교했습니다.
| 항목 | ALU-POWER | ALU-POWER HPC |
| --- | --- | --- |
| 설명 | ? Bright and TiCN Coated&lt;br/&gt;? For Aluminum Alloys&lt;br/&gt;? Mirror surface ? Excellent surface Finishes | ? 3 Flute&lt;br/&gt;? Square End &amp; Corner Radius&lt;br/&gt;? Standard and Extended Length&lt;br/&gt;? Coated and Uncoated |
| 적용 소재 설명 | For Aluminum Alloys | For Aluminium, Aluminum Die Cast, Non-ferrous Alloys and Plastics |
| 대표 시리즈 | E5253, E5254, E5521, E5522, E5711 외 45개 | E5H22, E5H23, E5H24, E5H25, E5I36 외 13개 |
| 시리즈 수 | 50개 | 18개 |
| 가공 타입 | Solid, undefined | Solid, undefined |
| 형상 | Corner_Radius,Die-Sinking,Facing,Helical_Interpolation,Side_Milling,Slotting, Die-Sinking,Facing,Side_Milling,Slotting, Profiling,Side_Milling, Side Milling, Side_Milling,Profiling,Small_Part 외 12개 | Corner_Radius,Die-Sinking,Facing,Helical_Interpolation,Side_Milling,Slotting, Corner_Radius,Die-Sinking,Helical_Interpolation,Ramping,Side_Milling,Slotting,Taper_Side_Milling,Trochoidal, Die-Sinking,Facing,Side_Milling,Slotting, Die-Sinking,Helical_Interpolation,Ramping,Side_Milling,Slotting,Taper_Side_Milling,Trochoidal, Side_Milling,Slotting,Corner_Radius,Trochoidal 외 6개 |
| 날 수 | 1날, 2날, 3날 | 3날 |
| 코팅 | ALTIN, Bright Finish, TiAlN, TiCN, TiN 외 1개 | DLC |
| 공구 소재 | Carbide, HSS-PM, T15 | Carbide |
| 직경 범위 | φ2~177.8mm | φ3~177.8mm |
| ISO | - | - |
| 피삭재 | Acrylic, Alloy Steels, Aluminum, Carbon Steels, Cast Iron | Aluminum, Copper, Non-ferrous |
| HRC | - | - |
[Reference: YG-1 내부 DB]
  [선택지: 다른 브랜드 비교 | 시리즈 비교 | 추천 제품 보기]</t>
  </si>
  <si>
    <t>🎯 의도: ALU-POWER와 ALU-POWER HPC의 차이를 알고 싶음
✅ 정답 행동: 내부 DB 기준으로 두 제품군의 핵심 차이만 간단히 비교해야 함. 날 수, 코팅, 적용 소재, 직경 범위, 특징을 정확히 정리하고, 불명확한 부분은 추측하지 말고 “DB 기준”으로 제시해야 함.
⚠️ 당시 문제: 제품군 비교에 불필요하거나 부정확한 세부 정보가 섞였고, 응답이 중간에 끊긴 듯한 비정상 출력이 있었음
💬 코멘트 분석: 최종적으로 비교 응답은 유용했지만 선택지/응답 품질이 아쉬워 전체 평가는 부정적이라는 뜻</t>
  </si>
  <si>
    <t>최종 평가: 👎 / 응답: 👍1 👎1 총 3개 응답 / 선택지: 👎1</t>
  </si>
  <si>
    <t>tf-evt-mn59oced-itcw974v</t>
  </si>
  <si>
    <t>RLH-0182</t>
  </si>
  <si>
    <t>알루미늄 밀링용 추천을 원했으나 과도한 세부질문만 함</t>
  </si>
  <si>
    <t>🧭 초기 조건: 문의 목적=신규 제품 추천 / 피삭재 (소재)=알루미늄 / 가공 방식=Milling
🤖 AI assistant [응답 👎] [선택지 👎]: 알루미늄 밀링 가공용 엔드밀을 찾고 계시네요. 현재 1,852개 제품이 있습니다.
알루미늄 소재를 좀 더 구체적으로 알려주시겠어요? (연질/경질, 주조/단조 등)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(608개) | DLC (196개) | TiCN (154개) | X-Coating (136개) | 상관없음 …]</t>
  </si>
  <si>
    <t>🎯 의도: 알루미늄 밀링용 절삭공구를 추천받고 싶음
✅ 정답 행동: 사용자가 소재 세부 조건을 “상관없음”이라 했으므로 추가 세분화 질문을 멈추고, 알루미늄 밀링용 엔드밀 후보를 바로 추천했어야 함. 코팅/형상/날수 기준으로 대표 제품을 제시하고, 필요 시 “가공 조건 알려주시면 더 좁혀드리겠다”로 마무리했어야 함.
⚠️ 당시 문제: 사용자가 상관없다고 했는데도 불필요한 추가 질문을 이어감
💬 코멘트 분석: 세부 질문 2번이 모두 불만족, 빠른 추천 요청이 핵심</t>
  </si>
  <si>
    <t>최종 평가: 👎 / 응답: 👎2 총 2개 응답 / 선택지: 👎2</t>
  </si>
  <si>
    <t>tf-evt-mn59xgrd-k9kicfpw</t>
  </si>
  <si>
    <t>RLH-0183</t>
  </si>
  <si>
    <t>알루미늄 밀링 웨이브컷 코팅제품 여부 문의</t>
  </si>
  <si>
    <t>🧭 초기 조건: 문의 목적=신규 제품 추천 / 피삭재 (소재)=알루미늄 / 가공 방식=Milling
🤖 AI assistant [응답 👎] [선택지 👎]: 알루미늄 밀링 가공용 엔드밀을 찾고 계시네요. 현재 1,852개 제품이 있습니다.
알루미늄 소재를 좀 더 구체적으로 알려주시겠어요? (연질/경질, 주조/단조 등)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(608개) | DLC (196개) | TiCN (154개) | X-Coating (136개) | 상관없음 …]
👤 사용자: 날 형상이 웨이브 컷인 제품들 중 코팅을한 웨이브컷 제품도 있나요?
🤖 AI assistant [응답 👎] [선택지 👎]: # 코팅 선택에 대한 안내
현재 **날 형상이 웨이브 컷인 제품이 없어** 코팅 옵션을 선택할 수 없는 상황입니다.
웨이브 컷 제품을 찾으시려면 이전 단계로 돌아가서 **날 형상(flute_shape) 조건을 다시 확인**해 주세요. 혹시 다른 조건(직경, 날길이 등)이 너무 제한적으로 설정되어 웨이브 컷 제품이 필터링되었을 수 있습니다.
조건을 조정하신 후 다시 진행하시면 웨이브 컷 제품의 코팅 옵션을 확인하실 수 있습니다.
  [선택지: 쉽게 설명해줘 | 추천으로 골라줘 | 상관없음 | Bright Finish란? | Bright Finish]</t>
  </si>
  <si>
    <t>🎯 의도: 알루미늄 밀링용 웨이브컷 제품 중 코팅된 제품이 있는지 확인
✅ 정답 행동: 웨이브컷 조건을 유지한 채 코팅 적용 가능 제품이 있는지 먼저 검색/검증해 알려줘야 함. 없으면 “없음”을 명확히 답하고, 대체 가능한 유사 날형상/코팅 조합을 함께 제안해야 함.
⚠️ 당시 문제: 웨이브컷 제품이 없다고 단정해 코팅 확인을 막았고, 사용자 질문에 직접 답하지 못함
💬 코멘트 분석: 선택지와 응답이 모두 부정확해 원하는 “코팅된 웨이브컷 제품 존재 여부”를 못 찾았다는 불만</t>
  </si>
  <si>
    <t>tf-evt-mn59yesf-bbe9rn0u</t>
  </si>
  <si>
    <t>RLH-0184</t>
  </si>
  <si>
    <t>웨이브컷 제품 유무와 코팅 여부를 확인하려 함</t>
  </si>
  <si>
    <t>🧭 초기 조건: 문의 목적=신규 제품 추천 / 피삭재 (소재)=알루미늄 / 가공 방식=Milling
🤖 AI assistant [응답 👎] [선택지 👎]: 알루미늄 밀링 가공용 엔드밀을 찾고 계시네요. 현재 1,852개 제품이 있습니다.
알루미늄 소재를 좀 더 구체적으로 알려주시겠어요? (연질/경질, 주조/단조 등)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(608개) | DLC (196개) | TiCN (154개) | X-Coating (136개) | 상관없음 …]
👤 사용자: 날 형상이 웨이브 컷인 제품들 중 코팅을한 웨이브컷 제품도 있나요?
🤖 AI assistant [응답 👎] [선택지 👎]: # 코팅 선택에 대한 안내
현재 **날 형상이 웨이브 컷인 제품이 없어** 코팅 옵션을 선택할 수 없는 상황입니다.
웨이브 컷 제품을 찾으시려면 이전 단계로 돌아가서 **날 형상(flute_shape) 조건을 다시 확인**해 주세요. 혹시 다른 조건(직경, 날길이 등)이 너무 제한적으로 설정되어 웨이브 컷 제품이 필터링되었을 수 있습니다.
조건을 조정하신 후 다시 진행하시면 웨이브 컷 제품의 코팅 옵션을 확인하실 수 있습니다.
  [선택지: 쉽게 설명해줘 | 추천으로 골라줘 | 상관없음 | Bright Finish란? | Bright Finish]
👤 사용자: 음 그럼 Wave-cut 은 있나요?
🤖 AI assistant [응답 👎] [선택지 👎]: Wave-cut은 코팅 종류가 아니라 엔드밀의 날 형상(기하학적 특징)을 의미합니다. 
현재 후보 1,852개 제품의 **코팅 종류**는 Bright Finish(무코팅 광택), DLC, TiCN, X-Coating, TiAlN 등으로 구성되어 있습니다. 
코팅이 가공 성능에 크게 영향을 주지 않는다면 "상관없음"을 선택하셔도 되고, 특정 소재나 용도에 맞춰 DLC(고경도), TiCN(범용), X-Coating(고성능) 등을 선택하실 수 있습니다. 어떤 코팅을 원하시나요?
  [선택지: 쉽게 설명해줘 | 추천으로 골라줘 | 상관없음 | Bright Finish란? | DLC란? …]</t>
  </si>
  <si>
    <t>🎯 의도: 알루미늄 밀링용 웨이브컷 제품과 그 코팅 유무 확인
✅ 정답 행동: Wave-cut이 날 형상인지 먼저 명확히 안내하고, 현재 후보에서 웨이브컷 제품 존재 여부를 바로 확인해 답해야 함. 없으면 대체 가능한 유사 형상/코팅 조건을 제안하고, 있으면 해당 제품의 코팅 옵션만 간단히 제시해야 함.
⚠️ 당시 문제: 웨이브컷을 코팅으로 오해해 설명했고, 실제로 존재 여부를 정확히 확인하지 못함
💬 코멘트 분석: 웨이브컷 제품 자체가 있는지 먼저 확인하고 싶다는 요구가 핵심</t>
  </si>
  <si>
    <t>tf-evt-mn5a0cea-4xdgjloz</t>
  </si>
  <si>
    <t>RLH-0185</t>
  </si>
  <si>
    <t>Wave-cut 시리즈의 코팅 정보 조회 요청</t>
  </si>
  <si>
    <t>🧭 초기 조건: 문의 목적=신규 제품 추천 / 피삭재 (소재)=알루미늄 / 가공 방식=Milling
🤖 AI assistant [응답 👎] [선택지 👎]: 알루미늄 밀링 가공용 엔드밀을 찾고 계시네요. 현재 1,852개 제품이 있습니다.
알루미늄 소재를 좀 더 구체적으로 알려주시겠어요? (연질/경질, 주조/단조 등)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(608개) | DLC (196개) | TiCN (154개) | X-Coating (136개) | 상관없음 …]
👤 사용자: 날 형상이 웨이브 컷인 제품들 중 코팅을한 웨이브컷 제품도 있나요?
🤖 AI assistant [응답 👎] [선택지 👎]: # 코팅 선택에 대한 안내
현재 **날 형상이 웨이브 컷인 제품이 없어** 코팅 옵션을 선택할 수 없는 상황입니다.
웨이브 컷 제품을 찾으시려면 이전 단계로 돌아가서 **날 형상(flute_shape) 조건을 다시 확인**해 주세요. 혹시 다른 조건(직경, 날길이 등)이 너무 제한적으로 설정되어 웨이브 컷 제품이 필터링되었을 수 있습니다.
조건을 조정하신 후 다시 진행하시면 웨이브 컷 제품의 코팅 옵션을 확인하실 수 있습니다.
  [선택지: 쉽게 설명해줘 | 추천으로 골라줘 | 상관없음 | Bright Finish란? | Bright Finish]
👤 사용자: 음 그럼 Wave-cut 은 있나요?
🤖 AI assistant [응답 👎] [선택지 👎]: Wave-cut은 코팅 종류가 아니라 엔드밀의 날 형상(기하학적 특징)을 의미합니다. 
현재 후보 1,852개 제품의 **코팅 종류**는 Bright Finish(무코팅 광택), DLC, TiCN, X-Coating, TiAlN 등으로 구성되어 있습니다. 
코팅이 가공 성능에 크게 영향을 주지 않는다면 "상관없음"을 선택하셔도 되고, 특정 소재나 용도에 맞춰 DLC(고경도), TiCN(범용), X-Coating(고성능) 등을 선택하실 수 있습니다. 어떤 코팅을 원하시나요?
  [선택지: 쉽게 설명해줘 | 추천으로 골라줘 | 상관없음 | Bright Finish란? | DLC란? …]
👤 사용자: 시리즈 기준으로 Wave-cut 날형상을 가졌는데, 어떤 코팅을 한 시리즈들이 있는지 알려주세요
🤖 AI assistant [응답 👎] [선택지 👎]: WAVECUT 제품 정보를 내부 DB에서 찾지 못했습니다.
현재 후보 제품의 제품코드로 다시 물어보시면 해당 제품 정보를 조회해드릴 수 있습니다.
[Reference: YG-1 내부 DB]
  [선택지: 후보 제품 보기 | 추천 제품 보기 | 처음부터 다시]</t>
  </si>
  <si>
    <t>🎯 의도: Wave-cut 날형상을 가진 시리즈들의 코팅 종류를 알고 싶음
✅ 정답 행동: Wave-cut은 날형상/시리즈 조건으로 다시 탐색해, 해당 시리즈 목록과 각 코팅 종류를 확인해 안내했어야 함. DB에서 직접 못 찾으면 제품코드/시리즈명을 기준으로 재질문하거나 후보 제품을 보여주며 이어가야 함.
⚠️ 당시 문제: Wave-cut을 코팅으로 오해해 안내가 흐트러졌고, 내부 DB 조회 실패 후 대안 없이 종료됨
💬 코멘트 분석: Wave-cut 시리즈 기준으로 어떤 코팅이 있는지 정확히 알려달라는 요구가 핵심</t>
  </si>
  <si>
    <t>최종 평가: 👎 / 응답: 👎5 총 5개 응답 / 선택지: 👎5</t>
  </si>
  <si>
    <t>tf-evt-mn5a1th9-pm1jcp98</t>
  </si>
  <si>
    <t>RLH-0186</t>
  </si>
  <si>
    <t>Wave-cut 시리즈와 코팅 정보 확인 원했으나 조회 실패</t>
  </si>
  <si>
    <t>🧭 초기 조건: 문의 목적=신규 제품 추천 / 피삭재 (소재)=알루미늄 / 가공 방식=Milling
🤖 AI assistant [응답 👎] [선택지 👎]: 알루미늄 밀링 가공용 엔드밀을 찾고 계시네요. 현재 1,852개 제품이 있습니다.
알루미늄 소재를 좀 더 구체적으로 알려주시겠어요? (연질/경질, 주조/단조 등)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(608개) | DLC (196개) | TiCN (154개) | X-Coating (136개) | 상관없음 …]
👤 사용자: 날 형상이 웨이브 컷인 제품들 중 코팅을한 웨이브컷 제품도 있나요?
🤖 AI assistant [응답 👎] [선택지 👎]: # 코팅 선택에 대한 안내
현재 **날 형상이 웨이브 컷인 제품이 없어** 코팅 옵션을 선택할 수 없는 상황입니다.
웨이브 컷 제품을 찾으시려면 이전 단계로 돌아가서 **날 형상(flute_shape) 조건을 다시 확인**해 주세요. 혹시 다른 조건(직경, 날길이 등)이 너무 제한적으로 설정되어 웨이브 컷 제품이 필터링되었을 수 있습니다.
조건을 조정하신 후 다시 진행하시면 웨이브 컷 제품의 코팅 옵션을 확인하실 수 있습니다.
  [선택지: 쉽게 설명해줘 | 추천으로 골라줘 | 상관없음 | Bright Finish란? | Bright Finish]
👤 사용자: 음 그럼 Wave-cut 은 있나요?
🤖 AI assistant [응답 👎] [선택지 👎]: Wave-cut은 코팅 종류가 아니라 엔드밀의 날 형상(기하학적 특징)을 의미합니다. 
현재 후보 1,852개 제품의 **코팅 종류**는 Bright Finish(무코팅 광택), DLC, TiCN, X-Coating, TiAlN 등으로 구성되어 있습니다. 
코팅이 가공 성능에 크게 영향을 주지 않는다면 "상관없음"을 선택하셔도 되고, 특정 소재나 용도에 맞춰 DLC(고경도), TiCN(범용), X-Coating(고성능) 등을 선택하실 수 있습니다. 어떤 코팅을 원하시나요?
  [선택지: 쉽게 설명해줘 | 추천으로 골라줘 | 상관없음 | Bright Finish란? | DLC란? …]
👤 사용자: 시리즈 기준으로 Wave-cut 날형상을 가졌는데, 어떤 코팅을 한 시리즈들이 있는지 알려주세요
🤖 AI assistant [응답 👎] [선택지 👎]: WAVECUT 제품 정보를 내부 DB에서 찾지 못했습니다.
현재 후보 제품의 제품코드로 다시 물어보시면 해당 제품 정보를 조회해드릴 수 있습니다.
[Reference: YG-1 내부 DB]
  [선택지: 후보 제품 보기 | 추천 제품 보기 | 처음부터 다시]
👤 사용자: wave-cut 날형상이 있는 시리즈를 알려주세요
🤖 AI assistant [응답 👎] [선택지 👎]: WAVECUT 제품 정보를 내부 DB에서 찾지 못했습니다.
현재 후보 제품의 제품코드로 다시 물어보시면 해당 제품 정보를 조회해드릴 수 있습니다.
[Reference: YG-1 내부 DB]
다시 제품 추천으로 돌아갈게요. WAVECUT 제품 정보를 내부 DB에서 찾지 못했습니다.
현재 후보 제품의 제품코드로 다시 물어보시면 해당 제품 정보를 조회해드릴 수 있습니다.
[Reference: YG-1 내
  [선택지: 후보 제품 보기 | 추천 제품 보기 | 처음부터 다시]</t>
  </si>
  <si>
    <t>🎯 의도: wave-cut 날형상 시리즈와 그 코팅 종류를 알고 싶음
✅ 정답 행동: wave-cut은 날형상 기준으로 먼저 제품/시리즈를 찾아야 하며, 해당 시리즈별 코팅 옵션을 정리해 안내했어야 함. DB에서 직접 조회가 안 되면 제품코드/후보 목록으로 범위를 좁혀 다시 탐색하도록 유도했어야 함.
⚠️ 당시 문제: wave-cut을 코팅으로 오해하거나, 존재 여부를 단정하지 못하고 반복적으로 조회 실패만 안내함
💬 코멘트 분석: 최종적으로 wave-cut 시리즈를 알려달라는 요구였고, DB 미검색이 핵심 불만임</t>
  </si>
  <si>
    <t>최종 평가: 👎 / 응답: 👎6 총 6개 응답 / 선택지: 👎6</t>
  </si>
  <si>
    <t>tf-evt-mn5a2fe7-vc4voyx7</t>
  </si>
  <si>
    <t>RLH-0187</t>
  </si>
  <si>
    <t>알루미늄 밀링용 웨이브컷/코너R 시리즈 문의</t>
  </si>
  <si>
    <t>🧭 초기 조건: 문의 목적=신규 제품 추천 / 피삭재 (소재)=알루미늄 / 가공 방식=Milling
🤖 AI assistant [응답 👎] [선택지 👎]: 알루미늄 밀링 가공용 엔드밀을 찾고 계시네요. 현재 1,852개 제품이 있습니다.
알루미늄 소재를 좀 더 구체적으로 알려주시겠어요? (연질/경질, 주조/단조 등)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(608개) | DLC (196개) | TiCN (154개) | X-Coating (136개) | 상관없음 …]
👤 사용자: 날 형상이 웨이브 컷인 제품들 중 코팅을한 웨이브컷 제품도 있나요?
🤖 AI assistant [응답 👎] [선택지 👎]: # 코팅 선택에 대한 안내
현재 **날 형상이 웨이브 컷인 제품이 없어** 코팅 옵션을 선택할 수 없는 상황입니다.
웨이브 컷 제품을 찾으시려면 이전 단계로 돌아가서 **날 형상(flute_shape) 조건을 다시 확인**해 주세요. 혹시 다른 조건(직경, 날길이 등)이 너무 제한적으로 설정되어 웨이브 컷 제품이 필터링되었을 수 있습니다.
조건을 조정하신 후 다시 진행하시면 웨이브 컷 제품의 코팅 옵션을 확인하실 수 있습니다.
  [선택지: 쉽게 설명해줘 | 추천으로 골라줘 | 상관없음 | Bright Finish란? | Bright Finish]
👤 사용자: 음 그럼 Wave-cut 은 있나요?
🤖 AI assistant [응답 👎] [선택지 👎]: Wave-cut은 코팅 종류가 아니라 엔드밀의 날 형상(기하학적 특징)을 의미합니다. 
현재 후보 1,852개 제품의 **코팅 종류**는 Bright Finish(무코팅 광택), DLC, TiCN, X-Coating, TiAlN 등으로 구성되어 있습니다. 
코팅이 가공 성능에 크게 영향을 주지 않는다면 "상관없음"을 선택하셔도 되고, 특정 소재나 용도에 맞춰 DLC(고경도), TiCN(범용), X-Coating(고성능) 등을 선택하실 수 있습니다. 어떤 코팅을 원하시나요?
  [선택지: 쉽게 설명해줘 | 추천으로 골라줘 | 상관없음 | Bright Finish란? | DLC란? …]
👤 사용자: 시리즈 기준으로 Wave-cut 날형상을 가졌는데, 어떤 코팅을 한 시리즈들이 있는지 알려주세요
🤖 AI assistant [응답 👎] [선택지 👎]: WAVECUT 제품 정보를 내부 DB에서 찾지 못했습니다.
현재 후보 제품의 제품코드로 다시 물어보시면 해당 제품 정보를 조회해드릴 수 있습니다.
[Reference: YG-1 내부 DB]
  [선택지: 후보 제품 보기 | 추천 제품 보기 | 처음부터 다시]
👤 사용자: wave-cut 날형상이 있는 시리즈를 알려주세요
🤖 AI assistant [응답 👎] [선택지 👎]: WAVECUT 제품 정보를 내부 DB에서 찾지 못했습니다.
현재 후보 제품의 제품코드로 다시 물어보시면 해당 제품 정보를 조회해드릴 수 있습니다.
[Reference: YG-1 내부 DB]
다시 제품 추천으로 돌아갈게요. WAVECUT 제품 정보를 내부 DB에서 찾지 못했습니다.
현재 후보 제품의 제품코드로 다시 물어보시면 해당 제품 정보를 조회해드릴 수 있습니다.
[Reference: YG-1 내
  [선택지: 후보 제품 보기 | 추천 제품 보기 | 처음부터 다시]
👤 사용자: Corner radius 를 가진 시리즈는요?
🤖 AI assistant [응답 👎] [선택지 👎]: # Coating 선택 안내
현재 Corner radius를 가진 제품을 찾고 계신데, 아직 coating 조건을 선택하지 않으셨습니다.
**Coating**은 공구 표면에 입히는 코팅 종류로, 내마모성과 절삭 성능을 향상시킵니다. 일반적으로 TiAlN, TiCN, AlCrN 등 다양한 코팅이 있으며, 가공 소재와 절삭 조건에 따라 적합한 코팅이 다릅니다.
특정 코팅이 필요하시면 선택하시고, **조건이 없으시면 "상관없음"을 선택**하시면 됩니다.
  [선택지: 쉽게 설명해줘 | 추천으로 골라줘 | 상관없음 | Bright Finish란? | Bright Finish]</t>
  </si>
  <si>
    <t>🎯 의도: 알루미늄 밀링용에서 웨이브컷·코너R 시리즈와 코팅 여부를 확인
✅ 정답 행동: 사용자의 질문이 “시리즈 기준으로 wave-cut 날형상/Corner radius가 있는 제품과 그 코팅”인지 파악해, 코팅 조건을 먼저 요구하지 말고 해당 형상 조건으로 제품/시리즈를 조회해 안내해야 함. DB에서 직접 조회가 안 되면 “현재 조회 불가”를 명확히 말하고, 대체로 후보 시리즈나 다시 검색 가능한 조건을 제시해야 함.
⚠️ 당시 문제: wave-cut/Corner radius 질문에 코팅 조건을 먼저 묻는 등 질문 의도를 벗어난 응답을 반복함
💬 코멘트 분석: 원하는 형상을 가진 시리즈 목록과 그 코팅 정보를 바로 알려달라는 요구였음</t>
  </si>
  <si>
    <t>최종 평가: 👎 / 응답: 👎7 총 7개 응답 / 선택지: 👎7</t>
  </si>
  <si>
    <t>tf-evt-mn5a3ql5-7n6amc3i</t>
  </si>
  <si>
    <t>RLH-0188</t>
  </si>
  <si>
    <t>웨이브컷·코너R 시리즈와 코팅 정보를 원함</t>
  </si>
  <si>
    <t>🧭 초기 조건: 문의 목적=신규 제품 추천 / 피삭재 (소재)=알루미늄 / 가공 방식=Milling
🤖 AI assistant [응답 👎] [선택지 👎]: 알루미늄 밀링 가공용 엔드밀을 찾고 계시네요. 현재 1,852개 제품이 있습니다.
알루미늄 소재를 좀 더 구체적으로 알려주시겠어요? (연질/경질, 주조/단조 등)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(608개) | DLC (196개) | TiCN (154개) | X-Coating (136개) | 상관없음 …]
👤 사용자: 날 형상이 웨이브 컷인 제품들 중 코팅을한 웨이브컷 제품도 있나요?
🤖 AI assistant [응답 👎] [선택지 👎]: # 코팅 선택에 대한 안내
현재 **날 형상이 웨이브 컷인 제품이 없어** 코팅 옵션을 선택할 수 없는 상황입니다.
웨이브 컷 제품을 찾으시려면 이전 단계로 돌아가서 **날 형상(flute_shape) 조건을 다시 확인**해 주세요. 혹시 다른 조건(직경, 날길이 등)이 너무 제한적으로 설정되어 웨이브 컷 제품이 필터링되었을 수 있습니다.
조건을 조정하신 후 다시 진행하시면 웨이브 컷 제품의 코팅 옵션을 확인하실 수 있습니다.
  [선택지: 쉽게 설명해줘 | 추천으로 골라줘 | 상관없음 | Bright Finish란? | Bright Finish]
👤 사용자: 음 그럼 Wave-cut 은 있나요?
🤖 AI assistant [응답 👎] [선택지 👎]: Wave-cut은 코팅 종류가 아니라 엔드밀의 날 형상(기하학적 특징)을 의미합니다. 
현재 후보 1,852개 제품의 **코팅 종류**는 Bright Finish(무코팅 광택), DLC, TiCN, X-Coating, TiAlN 등으로 구성되어 있습니다. 
코팅이 가공 성능에 크게 영향을 주지 않는다면 "상관없음"을 선택하셔도 되고, 특정 소재나 용도에 맞춰 DLC(고경도), TiCN(범용), X-Coating(고성능) 등을 선택하실 수 있습니다. 어떤 코팅을 원하시나요?
  [선택지: 쉽게 설명해줘 | 추천으로 골라줘 | 상관없음 | Bright Finish란? | DLC란? …]
👤 사용자: 시리즈 기준으로 Wave-cut 날형상을 가졌는데, 어떤 코팅을 한 시리즈들이 있는지 알려주세요
🤖 AI assistant [응답 👎] [선택지 👎]: WAVECUT 제품 정보를 내부 DB에서 찾지 못했습니다.
현재 후보 제품의 제품코드로 다시 물어보시면 해당 제품 정보를 조회해드릴 수 있습니다.
[Reference: YG-1 내부 DB]
  [선택지: 후보 제품 보기 | 추천 제품 보기 | 처음부터 다시]
👤 사용자: wave-cut 날형상이 있는 시리즈를 알려주세요
🤖 AI assistant [응답 👎] [선택지 👎]: WAVECUT 제품 정보를 내부 DB에서 찾지 못했습니다.
현재 후보 제품의 제품코드로 다시 물어보시면 해당 제품 정보를 조회해드릴 수 있습니다.
[Reference: YG-1 내부 DB]
다시 제품 추천으로 돌아갈게요. WAVECUT 제품 정보를 내부 DB에서 찾지 못했습니다.
현재 후보 제품의 제품코드로 다시 물어보시면 해당 제품 정보를 조회해드릴 수 있습니다.
[Reference: YG-1 내
  [선택지: 후보 제품 보기 | 추천 제품 보기 | 처음부터 다시]
👤 사용자: Corner radius 를 가진 시리즈는요?
🤖 AI assistant [응답 👎] [선택지 👎]: # Coating 선택 안내
현재 Corner radius를 가진 제품을 찾고 계신데, 아직 coating 조건을 선택하지 않으셨습니다.
**Coating**은 공구 표면에 입히는 코팅 종류로, 내마모성과 절삭 성능을 향상시킵니다. 일반적으로 TiAlN, TiCN, AlCrN 등 다양한 코팅이 있으며, 가공 소재와 절삭 조건에 따라 적합한 코팅이 다릅니다.
특정 코팅이 필요하시면 선택하시고, **조건이 없으시면 "상관없음"을 선택**하시면 됩니다.
  [선택지: 쉽게 설명해줘 | 추천으로 골라줘 | 상관없음 | Bright Finish란? | Bright Finish]
👤 사용자: Corner radious를 가진 시리즈 정보를 알려주세요
🤖 AI assistant [응답 👎] [선택지 👎]: CORNER 제품 정보를 내부 DB에서 찾지 못했습니다.
현재 후보 제품의 제품코드로 다시 물어보시면 해당 제품 정보를 조회해드릴 수 있습니다.
[Reference: YG-1 내부 DB]
다시 제품 추천으로 돌아갈게요. # Coating 선택 안내
현재 Corner radius를 가진 제품을 찾고 계신데, 아직 coating 조건을 선택하지 않으셨습니다.
**Coating**은 공구 표면에 입
  [선택지: 쉽게 설명해줘 | 추천으로 골라줘 | 상관없음 | Bright Finish란? | Bright Finish]</t>
  </si>
  <si>
    <t>🎯 의도: 알루미늄 밀링용에서 웨이브컷/코너R 시리즈와 코팅 여부를 확인하려 함
✅ 정답 행동: 사용자가 반복해서 묻는 시리즈/형상 기준으로 실제 후보 제품을 찾아 시리즈명과 코팅 종류를 바로 제시했어야 함. 내부 DB 조회 실패 시에는 불필요한 코팅 재질문 없이, 조회 불가 사유와 함께 대체로 확인 가능한 조건을 안내해야 함.
⚠️ 당시 문제: 형상 질문을 코팅 선택 단계로 잘못 되돌리며 맥락을 놓침
💬 코멘트 분석: 반복적으로 형상 기준 정보를 못 찾고 코팅만 재질문하는 점이 핵심 불만</t>
  </si>
  <si>
    <t>최종 평가: 👎 / 응답: 👎8 총 8개 응답 / 선택지: 👎8</t>
  </si>
  <si>
    <t>tf-evt-mn5a4i6e-8m1a0qb2</t>
  </si>
  <si>
    <t>RLH-0189</t>
  </si>
  <si>
    <t>스테인리스 10mm 사이드밀링 추천을 원함</t>
  </si>
  <si>
    <t>🧭 초기 조건: 문의 목적=신규 제품 추천 / 피삭재 (소재)=스테인리스 / 가공 형상=Side_Milling / 가공 방식=Milling / 공구 직경=10mm
🤖 AI assistant [응답 👎] [선택지 👎]: 스테인리스 소재, 10mm 직경으로 사이드 밀링 가공하실 제품이 현재 300개 정도 있습니다.
스테인리스 중에서도 어떤 종류인가요? (일반 스테인리스강, 300계열, 400계열, PH강 등)
  [선택지: 스테인레스강 | 스테인레스강 300 | 스테인레스강 400 | 스테인레스강(PH) | 티타늄 …]
👤 사용자: 상관없음
🤖 AI assistant [응답 👎] [선택지 👎]: 코팅 종류 선호가 있으신가요? 후보 중에 X-Coating, TiAlN, Bright Finish 등이 있습니다.
  [선택지: Y-Coating (90개) | Bright Finish (79개) | X-Coating (47개) | AlTiN (35개) | 상관없음 …]</t>
  </si>
  <si>
    <t>🎯 의도: 스테인리스 소재, 10mm 직경 사이드 밀링용 신규 제품 추천
✅ 정답 행동: 소재와 공정 조건에 맞는 후보를 바로 좁혀 추천해야 함. 사용자가 “상관없음”이라 했으므로 불필요한 추가 분류 질문은 줄이고, 코팅/시리즈별 대표 후보를 제시하거나 다음 선택 기준을 간단히 안내해야 함.
⚠️ 당시 문제: 사용자가 상관없다고 했는데도 코팅 선호를 다시 물어 흐름이 비효율적이었음
💬 코멘트 분석: 추가 질문보다 바로 추천해 달라는 흐름으로 평가됨</t>
  </si>
  <si>
    <t>tf-evt-mn5a905g-q6p440s6</t>
  </si>
  <si>
    <t>RLH-0190</t>
  </si>
  <si>
    <t>알루미늄 10mm 측면가공용 공구 추천 요청, 조건만 계속 재질문</t>
  </si>
  <si>
    <t>🧭 초기 조건: 문의 목적=신규 제품 추천 / 피삭재 (소재)=알루미늄 / 가공 형상=Side_Milling / 가공 방식=Milling / 공구 직경=10mm
🤖 AI assistant [응답 👎] [선택지 👎]: 알루미늄 소재에 10mm 엔드밀로 측면 가공하시는군요. 현재 424개 제품이 매칭됩니다.
가공하실 알루미늄의 종류를 선택해주세요 — 연질인지, 합금인지에 따라 최적 제품이 달라집니다.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(154개) | X-Coating (32개) | DLC (29개) | UNCOATED (18개) | 상관없음 …]</t>
  </si>
  <si>
    <t>🎯 의도: 알루미늄 Side Milling용 10mm 절삭공구를 추천받고 싶음
✅ 정답 행동: 사용자가 “상관없음”이라고 했으므로 추가 분기 없이 바로 적합한 후보를 1~3개 추천하고, 핵심 스펙(재질/코팅/날수/추천 이유)을 간단히 제시해야 함. 필요하면 다음 확인 질문은 1개만 최소로 진행.
⚠️ 당시 문제: 사용자가 조건을 상관없음으로 넘겼는데도 코팅 선호를 다시 물어 추천이 지연됨
💬 코멘트 분석: 최종 평가상 추가 질문 반복 없이 즉시 추천해 달라는 요구가 핵심</t>
  </si>
  <si>
    <t>tf-evt-mn5bbuvy-yea0b0xj</t>
  </si>
  <si>
    <t>RLH-0191</t>
  </si>
  <si>
    <t>알루미늄 10mm 측면밀링용 추천 원했으나 소재 재질 질문만 반복</t>
  </si>
  <si>
    <t>🧭 초기 조건: 문의 목적=신규 제품 추천 / 피삭재 (소재)=알루미늄 / 가공 형상=Side_Milling / 가공 방식=Milling / 공구 직경=10mm
🤖 AI assistant [응답 👎] [선택지 👎]: 알루미늄 소재에 10mm 엔드밀로 측면 가공하시는군요. 현재 424개 제품이 매칭됩니다.
가공하실 알루미늄의 종류를 선택해주세요 — 연질인지, 합금인지에 따라 최적 제품이 달라집니다.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(154개) | X-Coating (32개) | DLC (29개) | UNCOATED (18개) | 상관없음 …]
👤 사용자: Tank-power 소재는 뭐니?
🤖 AI assistant [응답 👎] [선택지 👎]: TANK-POWER는 탄소강, 합금강, 스테인레스강 가공에 특화된 고속 절삭용 코팅 브랜드입니다. HSS 및 HSS-PM 소재 기반으로 2날부터 6날까지 다양한 날 수를 제공하며, 슬로팅, 페이싱, 측면 밀링, 다이 싱킹 등 여러 형상 가공이 가능합니다. φ1~228.6mm의 넓은 직경 범위를 커버하고 61개 시리즈로 구성되어 있으며, HRC 0~35 경도의 피삭재에 적용할 수 있습니다.
TANK-POWER 브랜드 프로필을 내부 DB에서 조회했습니다.
| 항목 | 값 |
| --- | --- |
| 브랜드 | TANK-POWER |
| 설명 | ? Designed to machine carbon steels, alloyed steels, stainless steels.&lt;br/&gt;? YG-1’s new developed TANK-POWER Coating suitable for high speed cutting. |
| 적용 소재 설명 | High Toughness for Stainless Steels, Carbon steels and Alloy Steels |
| 대표 시리즈 | E9921, E9936, E9938, E9940, E9941 외 56개 |
| 시리즈 수 | 61개 |
| 가공 타입 | Solid, undefined |
| 형상 | Die-Sinking,Facing,Side_Milling,Slotting, Die-Sinking,Facing,Side_Milling,Slotting,Small_Part, Die-Sinking,Facing,Side_Milling,Slotting,Small_Part,Trochoidal, Die-Sinking,Facing,Side_Milling,Slotting,Trochoidal, Profiling,Side_Milling 외 10개 |
| 날 수 | 2날, 3날, 4날, 5날, 6날 |
| 코팅 | Bright Finish, TiAlN, X-Coating |
| 공구 소재 | HSS, HSS-PM |
| 직경 범위 | φ1~228.6mm |
| ISO | K, M, P |
| 피삭재 | 공구강, 스테인레스강 300, 스테인레스강 400, 주철, 탄소강 외 1개 |
| HRC | 0~35 |
| 국가 | AMERICA, ASIA, EUROPE, KOREA |
| EDP 수 | 1360개 |
[Reference: YG-1 내부 DB]
다시 제품 추천으로 돌아갈게요. 코팅 종류 선호가 있으신가요? 후보 중에 Bright Finish, DLC, X-Coating 등이 있습니다.
  [선택지: Bright Finish (154개) | X-Coating (32개) | DLC (29개) | UNCOATED (18개) | 상관없음 …]</t>
  </si>
  <si>
    <t>🎯 의도: 알루미늄 10mm Side Milling에 맞는 공구 추천
✅ 정답 행동: 알루미늄/상관없음 응답 후 바로 알루미늄용 10mm 측면밀링 후보를 추천했어야 함. 불필요한 브랜드 설명이나 재질 반복 질문 대신 코팅/날수 등 핵심 조건으로 좁혀 제시해야 함.
⚠️ 당시 문제: 사용자 답변 상관없음을 반영하지 않고 같은 질문을 반복함
💬 코멘트 분석: 반복 질문만 하고 제품 추천으로 못 돌아간 점이 핵심 불만</t>
  </si>
  <si>
    <t>tf-evt-mn5bcoty-yu2dhnz8</t>
  </si>
  <si>
    <t>RLH-0192</t>
  </si>
  <si>
    <t>알루미늄 10mm 측면가공용 공구 추천·비교 문의</t>
  </si>
  <si>
    <t>🧭 초기 조건: 문의 목적=신규 제품 추천 / 피삭재 (소재)=알루미늄 / 가공 형상=Side_Milling / 가공 방식=Milling / 공구 직경=10mm
🤖 AI assistant [응답 👎] [선택지 👎]: 알루미늄 소재에 10mm 엔드밀로 측면 가공하시는군요. 현재 424개 제품이 매칭됩니다.
가공하실 알루미늄의 종류를 선택해주세요 — 연질인지, 합금인지에 따라 최적 제품이 달라집니다.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(154개) | X-Coating (32개) | DLC (29개) | UNCOATED (18개) | 상관없음 …]
👤 사용자: Tank-power 소재는 뭐니?
🤖 AI assistant [응답 👎] [선택지 👎]: TANK-POWER는 탄소강, 합금강, 스테인레스강 가공에 특화된 고속 절삭용 코팅 브랜드입니다. HSS 및 HSS-PM 소재 기반으로 2날부터 6날까지 다양한 날 수를 제공하며, 슬로팅, 페이싱, 측면 밀링, 다이 싱킹 등 여러 형상 가공이 가능합니다. φ1~228.6mm의 넓은 직경 범위를 커버하고 61개 시리즈로 구성되어 있으며, HRC 0~35 경도의 피삭재에 적용할 수 있습니다.
TANK-POWER 브랜드 프로필을 내부 DB에서 조회했습니다.
| 항목 | 값 |
| --- | --- |
| 브랜드 | TANK-POWER |
| 설명 | ? Designed to machine carbon steels, alloyed steels, stainless steels.&lt;br/&gt;? YG-1’s new developed TANK-POWER Coating suitable for high speed cutting. |
| 적용 소재 설명 | High Toughness for Stainless Steels, Carbon steels and Alloy Steels |
| 대표 시리즈 | E9921, E9936, E9938, E9940, E9941 외 56개 |
| 시리즈 수 | 61개 |
| 가공 타입 | Solid, undefined |
| 형상 | Die-Sinking,Facing,Side_Milling,Slotting, Die-Sinking,Facing,Side_Milling,Slotting,Small_Part, Die-Sinking,Facing,Side_Milling,Slotting,Small_Part,Trochoidal, Die-Sinking,Facing,Side_Milling,Slotting,Trochoidal, Profiling,Side_Milling 외 10개 |
| 날 수 | 2날, 3날, 4날, 5날, 6날 |
| 코팅 | Bright Finish, TiAlN, X-Coating |
| 공구 소재 | HSS, HSS-PM |
| 직경 범위 | φ1~228.6mm |
| ISO | K, M, P |
| 피삭재 | 공구강, 스테인레스강 300, 스테인레스강 400, 주철, 탄소강 외 1개 |
| HRC | 0~35 |
| 국가 | AMERICA, ASIA, EUROPE, KOREA |
| EDP 수 | 1360개 |
[Reference: YG-1 내부 DB]
다시 제품 추천으로 돌아갈게요. 코팅 종류 선호가 있으신가요? 후보 중에 Bright Finish, DLC, X-Coating 등이 있습니다.
  [선택지: Bright Finish (154개) | X-Coating (32개) | DLC (29개) | UNCOATED (18개) | 상관없음 …]
👤 사용자: Alu-power 랑 alu-power hpc 차이는 뭐야?
🤖 AI assistant [응답 👎] [선택지 👎]: ALU-POWER는 50개 시리즈로 구성된 범용 알루미늄 가공 브랜드로 1~3날 구성과 Carbide/HSS-PM/T15 소재를 제공하며, ALTIN/TiCN/TiN 등 다양한 코팅으로 알루미늄 외에도 합금강, 주철, 아크릴까지 폭넓은 소재에 적용 가능합니다. 반면 ALU-POWER HPC는 18개 시리즈의 고능률 전용 브랜드로 3날만 제공하고 Carbide 소재에 DLC 코팅을 적용하여 알루미늄 다이캐스트, 비철합금, 플라스틱에 특화되어 있습니다. ALU-POWER는 직경 φ2mm부터 시작해 더 작은 직경 가공이 가능하고 다양
ALU-POWER vs ALU-POWER HPC 브랜드를 내부 DB 기준으로 비교했습니다.
| 항목 | ALU-POWER | ALU-POWER HPC |
| --- | --- | --- |
| 설명 | ? Bright and TiCN Coated&lt;br/&gt;? For Aluminum Alloys&lt;br/&gt;? Mirror surface ? Excellent surface Finishes | ? 3 Flute&lt;br/&gt;? Square End &amp; Corner Radius&lt;br/&gt;? Standard and Extended Length&lt;br/&gt;? Coated and Uncoated |
| 적용 소재 설명 | For Aluminum Alloys | For Aluminium, Aluminum Die Cast, Non-ferrous Alloys and Plastics |
| 대표 시리즈 | E5253, E5254, E5521, E5522, E5711 외 45개 | E5H22, E5H23, E5H24, E5H25, E5I36 외 13개 |
| 시리즈 수 | 50개 | 18개 |
| 가공 타입 | Solid, undefined | Solid, undefined |
| 형상 | Corner_Radius,Die-Sinking,Facing,Helical_Interpolation,Side_Milling,Slotting, Die-Sinking,Facing,Side_Milling,Slotting, Profiling,Side_Milling, Side Milling, Side_Milling,Profiling,Small_Part 외 12개 | Corner_Radius,Die-Sinking,Facing,Helical_Interpolation,Side_Milling,Slotting, Corner_Radius,Die-Sinking,Helical_Interpolation,Ramping,Side_Milling,Slotting,Taper_Side_Milling,Trochoidal, Die-Sinking,Facing,Side_Milling,Slotting, Die-Sinking,Helical_Interpolation,Ramping,Side_Milling,Slotting,Taper_Side_Milling,Trochoidal, Side_Milling,Slotting,Corner_Radius,Trochoidal 외 6개 |
| 날 수 | 1날, 2날, 3날 | 3날 |
| 코팅 | ALTIN, Bright Finish, TiAlN, TiCN, TiN 외 1개 | DLC |
| 공구 소재 | Carbide, HSS-PM, T15 | Carbide |
| 직경 범위 | φ2~177.8mm | φ3~177.8mm |
| ISO | - | - |
| 피삭재 | Acrylic, Alloy Steels, Aluminum, Carbon Steels, Cast Iron | Aluminum, Copper, Non-ferrous |
| HRC | - | - |
[Reference: YG-1 내부 DB]
  [선택지: 다른 브랜드 비교 | 시리즈 비교 | 추천 제품 보기]</t>
  </si>
  <si>
    <t>🎯 의도: 알루미늄 Side Milling용 10mm 공구를 추천받고 싶었음
✅ 정답 행동: 알루미늄 조건을 유지한 채 10mm 측면가공에 맞는 제품을 추천하고, 필요 시 알루미늄 종류·코팅 정도만 간단히 추가 확인했어야 함. 사용자가 “상관없음”이라고 했으면 불필요한 재질/코팅 재질문을 줄이고 추천 제품 또는 추천 범위를 바로 제시했어야 함.
⚠️ 당시 문제: 알루미늄 문의인데 TANK-POWER(강재용) 정보를 장황하게 설명해 맥락을 벗어남.
💬 코멘트 분석: 알루미늄용 ALU-POWER와 ALU-POWER HPC 차이, 즉 제품 비교를 원함</t>
  </si>
  <si>
    <t>tf-evt-mn5bexm0-3q6xisuj</t>
  </si>
  <si>
    <t>RLH-0193</t>
  </si>
  <si>
    <t>알루미늄 10mm 측면가공 추천 중 용어만 문의</t>
  </si>
  <si>
    <t>🧭 초기 조건: 문의 목적=신규 제품 추천 / 피삭재 (소재)=알루미늄 / 가공 형상=Side_Milling / 가공 방식=Milling / 공구 직경=10mm
🤖 AI assistant [응답 👎] [선택지 👎]: 알루미늄 소재에 10mm 엔드밀로 측면 가공하시는군요. 현재 424개 제품이 매칭됩니다.
가공하실 알루미늄의 종류를 선택해주세요 — 연질인지, 합금인지에 따라 최적 제품이 달라집니다.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(154개) | X-Coating (32개) | DLC (29개) | UNCOATED (18개) | 상관없음 …]
👤 사용자: Tank-power 소재는 뭐니?
🤖 AI assistant [응답 👎] [선택지 👎]: TANK-POWER는 탄소강, 합금강, 스테인레스강 가공에 특화된 고속 절삭용 코팅 브랜드입니다. HSS 및 HSS-PM 소재 기반으로 2날부터 6날까지 다양한 날 수를 제공하며, 슬로팅, 페이싱, 측면 밀링, 다이 싱킹 등 여러 형상 가공이 가능합니다. φ1~228.6mm의 넓은 직경 범위를 커버하고 61개 시리즈로 구성되어 있으며, HRC 0~35 경도의 피삭재에 적용할 수 있습니다.
TANK-POWER 브랜드 프로필을 내부 DB에서 조회했습니다.
| 항목 | 값 |
| --- | --- |
| 브랜드 | TANK-POWER |
| 설명 | ? Designed to machine carbon steels, alloyed steels, stainless steels.&lt;br/&gt;? YG-1’s new developed TANK-POWER Coating suitable for high speed cutting. |
| 적용 소재 설명 | High Toughness for Stainless Steels, Carbon steels and Alloy Steels |
| 대표 시리즈 | E9921, E9936, E9938, E9940, E9941 외 56개 |
| 시리즈 수 | 61개 |
| 가공 타입 | Solid, undefined |
| 형상 | Die-Sinking,Facing,Side_Milling,Slotting, Die-Sinking,Facing,Side_Milling,Slotting,Small_Part, Die-Sinking,Facing,Side_Milling,Slotting,Small_Part,Trochoidal, Die-Sinking,Facing,Side_Milling,Slotting,Trochoidal, Profiling,Side_Milling 외 10개 |
| 날 수 | 2날, 3날, 4날, 5날, 6날 |
| 코팅 | Bright Finish, TiAlN, X-Coating |
| 공구 소재 | HSS, HSS-PM |
| 직경 범위 | φ1~228.6mm |
| ISO | K, M, P |
| 피삭재 | 공구강, 스테인레스강 300, 스테인레스강 400, 주철, 탄소강 외 1개 |
| HRC | 0~35 |
| 국가 | AMERICA, ASIA, EUROPE, KOREA |
| EDP 수 | 1360개 |
[Reference: YG-1 내부 DB]
다시 제품 추천으로 돌아갈게요. 코팅 종류 선호가 있으신가요? 후보 중에 Bright Finish, DLC, X-Coating 등이 있습니다.
  [선택지: Bright Finish (154개) | X-Coating (32개) | DLC (29개) | UNCOATED (18개) | 상관없음 …]
👤 사용자: Alu-power 랑 alu-power hpc 차이는 뭐야?
🤖 AI assistant [응답 👎] [선택지 👎]: ALU-POWER는 50개 시리즈로 구성된 범용 알루미늄 가공 브랜드로 1~3날 구성과 Carbide/HSS-PM/T15 소재를 제공하며, ALTIN/TiCN/TiN 등 다양한 코팅으로 알루미늄 외에도 합금강, 주철, 아크릴까지 폭넓은 소재에 적용 가능합니다. 반면 ALU-POWER HPC는 18개 시리즈의 고능률 전용 브랜드로 3날만 제공하고 Carbide 소재에 DLC 코팅을 적용하여 알루미늄 다이캐스트, 비철합금, 플라스틱에 특화되어 있습니다. ALU-POWER는 직경 φ2mm부터 시작해 더 작은 직경 가공이 가능하고 다양
ALU-POWER vs ALU-POWER HPC 브랜드를 내부 DB 기준으로 비교했습니다.
| 항목 | ALU-POWER | ALU-POWER HPC |
| --- | --- | --- |
| 설명 | ? Bright and TiCN Coated&lt;br/&gt;? For Aluminum Alloys&lt;br/&gt;? Mirror surface ? Excellent surface Finishes | ? 3 Flute&lt;br/&gt;? Square End &amp; Corner Radius&lt;br/&gt;? Standard and Extended Length&lt;br/&gt;? Coated and Uncoated |
| 적용 소재 설명 | For Aluminum Alloys | For Aluminium, Aluminum Die Cast, Non-ferrous Alloys and Plastics |
| 대표 시리즈 | E5253, E5254, E5521, E5522, E5711 외 45개 | E5H22, E5H23, E5H24, E5H25, E5I36 외 13개 |
| 시리즈 수 | 50개 | 18개 |
| 가공 타입 | Solid, undefined | Solid, undefined |
| 형상 | Corner_Radius,Die-Sinking,Facing,Helical_Interpolation,Side_Milling,Slotting, Die-Sinking,Facing,Side_Milling,Slotting, Profiling,Side_Milling, Side Milling, Side_Milling,Profiling,Small_Part 외 12개 | Corner_Radius,Die-Sinking,Facing,Helical_Interpolation,Side_Milling,Slotting, Corner_Radius,Die-Sinking,Helical_Interpolation,Ramping,Side_Milling,Slotting,Taper_Side_Milling,Trochoidal, Die-Sinking,Facing,Side_Milling,Slotting, Die-Sinking,Helical_Interpolation,Ramping,Side_Milling,Slotting,Taper_Side_Milling,Trochoidal, Side_Milling,Slotting,Corner_Radius,Trochoidal 외 6개 |
| 날 수 | 1날, 2날, 3날 | 3날 |
| 코팅 | ALTIN, Bright Finish, TiAlN, TiCN, TiN 외 1개 | DLC |
| 공구 소재 | Carbide, HSS-PM, T15 | Carbide |
| 직경 범위 | φ2~177.8mm | φ3~177.8mm |
| ISO | - | - |
| 피삭재 | Acrylic, Alloy Steels, Aluminum, Carbon Steels, Cast Iron | Aluminum, Copper, Non-ferrous |
| HRC | - | - |
[Reference: YG-1 내부 DB]
  [선택지: 다른 브랜드 비교 | 시리즈 비교 | 추천 제품 보기]
👤 사용자: 엔드밀 유효길이랑 날장의 차이점은 뭐니?
🤖 AI assistant [응답 👎] [선택지 👎]: **날장(Cutting Length)**은 엔드밀의 날이 있는 부분으로 실제 절삭 가공을 하는 영역이며, 한 번에 플런지(하강)할 수 있는 깊이를 결정합니다. **유효길이**는 절삭 작업이 가능한 전체 길이를 의미하는데, 날장보다 더 넓은 개념입니다.
날 길이는 짧을수록 공구 강성이 높아져 절삭 성능과 수명이 향상되며, 날 길이가 2배가 되면 강성은 1/8로 줄어듭니다. 일반적으로 2날 엔드밀은 공구 직경의 1/2, 4날은 1/4 정도 절삭 깊이로 가공하는 것이 좋습니다.
📌 **웹 검색 참고 (내부 DB 외부 정보)**: 기계가공 전문 사이트(parangbee.blogspot.com), 공구 전문업체 기술자료(JJ Tools, COGOtool)
  [선택지: 쉽게 설명해줘 | 추천으로 골라줘 | 상관없음 | Bright Finish란? | DLC란? …]</t>
  </si>
  <si>
    <t>🎯 의도: 알루미늄용 10mm 측면가공 공구를 추천받고, 제품/용어 차이를 확인하려는 것
✅ 정답 행동: 초기 조건(알루미늄, Side Milling, 10mm)에 맞는 제품 추천을 계속 이어가야 했고, 사용자가 묻는 브랜드/용어 차이는 내부 DB 기준으로 정확히 비교해 짧게 설명해야 했다. 불필요한 추가 질문은 줄이고 바로 추천 또는 비교 결과를 제시했어야 한다.
⚠️ 당시 문제: 알루미늄 문의에 TANK-POWER를 엉뚱하게 설명했고, ALU-POWER/HPC 비교도 답이 중간에 끊겨 부정확했다.
💬 코멘트 분석: 제품 추천 흐름을 유지하지 못하고, 정확한 비교·설명과 선택지 품질이 부족했다는 불만이 핵심이다.</t>
  </si>
  <si>
    <t>tf-evt-mn5bh4ah-08olgsyj</t>
  </si>
  <si>
    <t>RLH-0194</t>
  </si>
  <si>
    <t>알루미늄 10mm 측면가공 추천 요청, 이후 개념·비교 질문</t>
  </si>
  <si>
    <t>🧭 초기 조건: 문의 목적=신규 제품 추천 / 피삭재 (소재)=알루미늄 / 가공 형상=Side_Milling / 가공 방식=Milling / 공구 직경=10mm
🤖 AI assistant [응답 👎] [선택지 👎]: 알루미늄 소재에 10mm 엔드밀로 측면 가공하시는군요. 현재 424개 제품이 매칭됩니다.
가공하실 알루미늄의 종류를 선택해주세요 — 연질인지, 합금인지에 따라 최적 제품이 달라집니다.
  [선택지: 알루미늄 | 알루미늄 (연질) | 알루미늄 단조 합금 | 알루미늄 주조 합금 | 알루미늄 합금 …]
👤 사용자: 상관없음
🤖 AI assistant [응답 👎] [선택지 👎]: 코팅 종류 선호가 있으신가요? 후보 중에 Bright Finish, DLC, X-Coating 등이 있습니다.
  [선택지: Bright Finish (154개) | X-Coating (32개) | DLC (29개) | UNCOATED (18개) | 상관없음 …]
👤 사용자: Tank-power 소재는 뭐니?
🤖 AI assistant [응답 👎] [선택지 👎]: TANK-POWER는 탄소강, 합금강, 스테인레스강 가공에 특화된 고속 절삭용 코팅 브랜드입니다. HSS 및 HSS-PM 소재 기반으로 2날부터 6날까지 다양한 날 수를 제공하며, 슬로팅, 페이싱, 측면 밀링, 다이 싱킹 등 여러 형상 가공이 가능합니다. φ1~228.6mm의 넓은 직경 범위를 커버하고 61개 시리즈로 구성되어 있으며, HRC 0~35 경도의 피삭재에 적용할 수 있습니다.
TANK-POWER 브랜드 프로필을 내부 DB에서 조회했습니다.
| 항목 | 값 |
| --- | --- |
| 브랜드 | TANK-POWER |
| 설명 | ? Designed to machine carbon steels, alloyed steels, stainless steels.&lt;br/&gt;? YG-1’s new developed TANK-POWER Coating suitable for high speed cutting. |
| 적용 소재 설명 | High Toughness for Stainless Steels, Carbon steels and Alloy Steels |
| 대표 시리즈 | E9921, E9936, E9938, E9940, E9941 외 56개 |
| 시리즈 수 | 61개 |
| 가공 타입 | Solid, undefined |
| 형상 | Die-Sinking,Facing,Side_Milling,Slotting, Die-Sinking,Facing,Side_Milling,Slotting,Small_Part, Die-Sinking,Facing,Side_Milling,Slotting,Small_Part,Trochoidal, Die-Sinking,Facing,Side_Milling,Slotting,Trochoidal, Profiling,Side_Milling 외 10개 |
| 날 수 | 2날, 3날, 4날, 5날, 6날 |
| 코팅 | Bright Finish, TiAlN, X-Coating |
| 공구 소재 | HSS, HSS-PM |
| 직경 범위 | φ1~228.6mm |
| ISO | K, M, P |
| 피삭재 | 공구강, 스테인레스강 300, 스테인레스강 400, 주철, 탄소강 외 1개 |
| HRC | 0~35 |
| 국가 | AMERICA, ASIA, EUROPE, KOREA |
| EDP 수 | 1360개 |
[Reference: YG-1 내부 DB]
다시 제품 추천으로 돌아갈게요. 코팅 종류 선호가 있으신가요? 후보 중에 Bright Finish, DLC, X-Coating 등이 있습니다.
  [선택지: Bright Finish (154개) | X-Coating (32개) | DLC (29개) | UNCOATED (18개) | 상관없음 …]
👤 사용자: Alu-power 랑 alu-power hpc 차이는 뭐야?
🤖 AI assistant [응답 👎] [선택지 👎]: ALU-POWER는 50개 시리즈로 구성된 범용 알루미늄 가공 브랜드로 1~3날 구성과 Carbide/HSS-PM/T15 소재를 제공하며, ALTIN/TiCN/TiN 등 다양한 코팅으로 알루미늄 외에도 합금강, 주철, 아크릴까지 폭넓은 소재에 적용 가능합니다. 반면 ALU-POWER HPC는 18개 시리즈의 고능률 전용 브랜드로 3날만 제공하고 Carbide 소재에 DLC 코팅을 적용하여 알루미늄 다이캐스트, 비철합금, 플라스틱에 특화되어 있습니다. ALU-POWER는 직경 φ2mm부터 시작해 더 작은 직경 가공이 가능하고 다양
ALU-POWER vs ALU-POWER HPC 브랜드를 내부 DB 기준으로 비교했습니다.
| 항목 | ALU-POWER | ALU-POWER HPC |
| --- | --- | --- |
| 설명 | ? Bright and TiCN Coated&lt;br/&gt;? For Aluminum Alloys&lt;br/&gt;? Mirror surface ? Excellent surface Finishes | ? 3 Flute&lt;br/&gt;? Square End &amp; Corner Radius&lt;br/&gt;? Standard and Extended Length&lt;br/&gt;? Coated and Uncoated |
| 적용 소재 설명 | For Aluminum Alloys | For Aluminium, Aluminum Die Cast, Non-ferrous Alloys and Plastics |
| 대표 시리즈 | E5253, E5254, E5521, E5522, E5711 외 45개 | E5H22, E5H23, E5H24, E5H25, E5I36 외 13개 |
| 시리즈 수 | 50개 | 18개 |
| 가공 타입 | Solid, undefined | Solid, undefined |
| 형상 | Corner_Radius,Die-Sinking,Facing,Helical_Interpolation,Side_Milling,Slotting, Die-Sinking,Facing,Side_Milling,Slotting, Profiling,Side_Milling, Side Milling, Side_Milling,Profiling,Small_Part 외 12개 | Corner_Radius,Die-Sinking,Facing,Helical_Interpolation,Side_Milling,Slotting, Corner_Radius,Die-Sinking,Helical_Interpolation,Ramping,Side_Milling,Slotting,Taper_Side_Milling,Trochoidal, Die-Sinking,Facing,Side_Milling,Slotting, Die-Sinking,Helical_Interpolation,Ramping,Side_Milling,Slotting,Taper_Side_Milling,Trochoidal, Side_Milling,Slotting,Corner_Radius,Trochoidal 외 6개 |
| 날 수 | 1날, 2날, 3날 | 3날 |
| 코팅 | ALTIN, Bright Finish, TiAlN, TiCN, TiN 외 1개 | DLC |
| 공구 소재 | Carbide, HSS-PM, T15 | Carbide |
| 직경 범위 | φ2~177.8mm | φ3~177.8mm |
| ISO | - | - |
| 피삭재 | Acrylic, Alloy Steels, Aluminum, Carbon Steels, Cast Iron | Aluminum, Copper, Non-ferrous |
| HRC | - | - |
[Reference: YG-1 내부 DB]
  [선택지: 다른 브랜드 비교 | 시리즈 비교 | 추천 제품 보기]
👤 사용자: 엔드밀 유효길이랑 날장의 차이점은 뭐니?
🤖 AI assistant [응답 👎] [선택지 👎]: **날장(Cutting Length)**은 엔드밀의 날이 있는 부분으로 실제 절삭 가공을 하는 영역이며, 한 번에 플런지(하강)할 수 있는 깊이를 결정합니다. **유효길이**는 절삭 작업이 가능한 전체 길이를 의미하는데, 날장보다 더 넓은 개념입니다.
날 길이는 짧을수록 공구 강성이 높아져 절삭 성능과 수명이 향상되며, 날 길이가 2배가 되면 강성은 1/8로 줄어듭니다. 일반적으로 2날 엔드밀은 공구 직경의 1/2, 4날은 1/4 정도 절삭 깊이로 가공하는 것이 좋습니다.
📌 **웹 검색 참고 (내부 DB 외부 정보)**: 기계가공 전문 사이트(parangbee.blogspot.com), 공구 전문업체 기술자료(JJ Tools, COGOtool)
  [선택지: 쉽게 설명해줘 | 추천으로 골라줘 | 상관없음 | Bright Finish란? | DLC란? …]
👤 사용자: 국내 영업소좀 알려주세요
🤖 AI assistant [응답 👎] [선택지 👎]: YG-1의 국내 영업소는 다음 5곳입니다.
- **서울**: 02-2681-3456
- **대구**: 053-600-8909
- **천안**: 041-417-0985
- **부산**: 051-314-0985
- **창원**: 055-275-0985
더 자세한 사항이 필요하신가요?
다시 제품 추천으로 돌아갈게요. **날장(Cutting Length)**은 엔드밀의 날이 있는 부분으로 실제 절삭 가공을 하는 영역이며, 한 번에 플런지(하강)할 수 있는 깊이를 결정합니다. **유효길이**는 절
  [선택지: 쉽게 설명해줘 | 추천으로 골라줘 | 상관없음 | Bright Finish란? | DLC란? …]</t>
  </si>
  <si>
    <t>🎯 의도: 알루미늄 10mm Side Milling용 적합 공구 추천
✅ 정답 행동: 알루미늄 가공 조건을 기준으로 ALU-POWER/ALU-POWER HPC 등 후보를 바로 비교해 추천하고, 선택지 질문은 최소화해야 함. 사용자가 물은 비교 질문(차이, 용어)에는 짧고 정확히 답한 뒤 다시 추천 흐름으로 복귀했어야 함.
⚠️ 당시 문제: 제품 추천보다 불필요한 추가 질문과 설명이 길어져 추천이 지연됨
💬 코멘트 분석: 최종 평가가 전반적으로 매우 불만족이며, 응답과 선택지 모두 부정확했다고 봄</t>
  </si>
  <si>
    <t>tf-evt-mn5bjb3t-6n92ny5i</t>
  </si>
  <si>
    <t>RLH-0195</t>
  </si>
  <si>
    <t>구리/알루미늄 비철용 코너라운드 추천 요청</t>
  </si>
  <si>
    <t>🧭 초기 조건: 문의 목적=신규 제품 추천 / 피삭재 (소재)=알루미늄 / 가공 방식=Milling / 공구 직경=10mm
🤖 AI assistant [응답 👎] [선택지 👎]: 알루미늄 소재 10mm 엔드밀 밀링 가공이시군요. 현재 424개 제품이 매칭됩니다.
알루미늄 중에서도 **연질(6061 등) / 단조 합금(7075 등) / 주조 합금(ADC12 등)** 중 어떤 종류를 가공하시나요? 소재 특성에 따라 날 형상과 코팅이 달라집니다.
  [선택지: 알루미늄 | 알루미늄 (연질) | 알루미늄 단조 합금 | 알루미늄 주조 합금 | 알루미늄 합금 …]
👤 사용자: 구리요
🤖 AI assistant [응답 👍] [선택지 👍]: "구리" 조건을 적용하면 후보가 없습니다. 현재 424개 후보에서 다른 조건을 선택해주세요.
  [선택지: 알루미늄 | 알루미늄 (연질) | 알루미늄 단조 합금 | 알루미늄 주조 합금 | 알루미늄 합금 …]
👤 사용자: Tank-power 브랜드에 대해서 설명해줘
🤖 AI assistant [응답 👍] [선택지 👍]: TANK-POWER는 YG-1의 고속 절삭용 코팅 기술이 적용된 브랜드로, 탄소강, 합금강, 스테인레스강 가공에 특화되어 높은 인성을 제공합니다. HSS 및 HSS-PM 소재 기반에 TiAlN, X-Coating 등 다양한 코팅이 적용되며, 2날부터 6날까지 다양한 날 수 구성으로 φ1~228.6mm의 넓은 직경 범위를 커버합니다. Die-Sinking, Facing, Side Milling, Slotting, Profiling 등 여러 가공 형상을 지원하며, HRC 0~35 범위의 소재 가공에 적합한 61개 시리즈로 구성되어 있습니다.
TANK-POWER 브랜드 프로필을 내부 DB에서 조회했습니다.
| 항목 | 값 |
| --- | --- |
| 브랜드 | TANK-POWER |
| 설명 | ? Designed to machine carbon steels, alloyed steels, stainless steels.&lt;br/&gt;? YG-1’s new developed TANK-POWER Coating suitable for high speed cutting. |
| 적용 소재 설명 | High Toughness for Stainless Steels, Carbon steels and Alloy Steels |
| 대표 시리즈 | E9921, E9936, E9938, E9940, E9941 외 56개 |
| 시리즈 수 | 61개 |
| 가공 타입 | Solid, undefined |
| 형상 | Die-Sinking,Facing,Side_Milling,Slotting, Die-Sinking,Facing,Side_Milling,Slotting,Small_Part, Die-Sinking,Facing,Side_Milling,Slotting,Small_Part,Trochoidal, Die-Sinking,Facing,Side_Milling,Slotting,Trochoidal, Profiling,Side_Milling 외 10개 |
| 날 수 | 2날, 3날, 4날, 5날, 6날 |
| 코팅 | Bright Finish, TiAlN, X-Coating |
| 공구 소재 | HSS, HSS-PM |
| 직경 범위 | φ1~228.6mm |
| ISO | K, M, P |
| 피삭재 | 공구강, 스테인레스강 300, 스테인레스강 400, 주철, 탄소강 외 1개 |
| HRC | 0~35 |
| 국가 | AMERICA, ASIA, EUROPE, KOREA |
| EDP 수 | 1360개 |
[Reference: YG-1 내부 DB]
  [선택지: 다른 브랜드 비교 | 시리즈 차이 보기 | 추천 제품 보기]
👤 사용자: CRX s 브랜드도 소개해주세요
🤖 AI assistant [응답 👎] [선택지 👎]: # CRX-S 브랜드 설명
**CRX-S**는 YG-1의 고성능 초경 엔드밀 시리즈입니다. 
CRX-S는 **범용 가공용**으로 설계되어 다양한 소재를 효과적으로 가공할 수 있으며, 특히 **내마모성과 인성이 우수**합니다. 
일반 강재부터 합금강, 스테인리스강 등 폭넓은 재질에 대응 가능하며, **안정적인 가공 성능과 긴 공구 수명**을 제공합니다.
현재는 후보 제품이 없지만, 이전 질문들의 조건을 조정하시거나 **"상관없음"을 선택**하시면 더 많은 제품을 확인하실 수 있습니다.
  [선택지: 쉽게 설명해줘 | 추천으로 골라줘 | 상관없음 | 다른 브랜드 비교란? | 시리즈 차이 보기란? …]
👤 사용자: Alu-power 브랜드 소개부탁
🤖 AI assistant [응답 👎] [선택지 👎]: ALU-POWER는 알루미늄 합금 가공에 특화된 YG-1의 전용 브랜드로, Bright 및 TiCN 코팅을 적용하여 거울처럼 매끄러운 표면 품질을 제공합니다. 50개의 다양한 시리즈(E5253, E5254, E5521 등)를 보유하고 있으며, 1날부터 3날까지 다양한 날 수 옵션과 φ2~177.8mm의 폭넓은 직경 범위를 제공합니다. Corner Radius, Die-Sinking, Slotting, Side Milling 등 다양한 형상으로 구성되어 있으며, 주로 알루미늄 외에도 Acrylic, 합금강, 주철 등의 소재 가공에도 활용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E5254, E5521, E5522, E5711 외 45개 |
| 시리즈 수 | 50개 |
| 가공 타입 | Solid, undefined |
| 형상 | Corner_Radius,Die-Sinking,Facing,Helical_Interpolation,Side_Milling,Slotting, Die-Sinking,Facing,Side_Milling,Slotting, Profiling,Side_Milling, Side Milling, Side_Milling,Profiling,Small_Part 외 12개 |
| 날 수 | 1날, 2날, 3날 |
| 코팅 | ALTIN, Bright Finish, TiAlN, TiCN, TiN 외 1개 |
| 공구 소재 | Carbide, HSS-PM, T15 |
| 직경 범위 | φ2~177.8mm |
| ISO | - |
| 피삭재 | Acrylic, Alloy Steels, Aluminum, Carbon Steels, Cast Iron |
| HRC | - |
| 국가 | AMERICA, ASIA, EUROPE |
| EDP 수 | 969개 |
[Reference: YG-1 내부 DB]
다시 제품 추천으로 돌아갈게요. # CRX-S 브랜드 설명
**CRX-S**는 YG-1의 고성능 초경 엔드밀 시리즈입니다. 
CRX-S는 **범용 가공용**으로 설계되어 다양한 소재를 효과적으로 가공할 수 있
  [선택지: 쉽게 설명해줘 | 추천으로 골라줘 | 상관없음 | 다른 브랜드 비교란? | 시리즈 차이 보기란? …]
👤 사용자: JAH25 시리즈의 특성 설명해줘
🤖 AI assistant [응답 👎] [선택지 👎]: JAH25 시리즈는 알루미늄 및 비철금속 전용 고속가공 엔드밀로, 3날 구성에 37도 헬릭스 각도와 코너 라운드 형상이 특징입니다. DLC 코팅이 적용되어 경면 가공이 가능하며 뛰어난 표면조도를 제공합니다. 높은 이송속도와 회전수에서도 우수한 칩 배출 성능을 발휘하며, 측면가공·슬롯가공·금형 깊은 홈 가공 등 다양한 가공에 적용 가능합니다.
JAH25 시리즈 프로필을 내부 DB에서 조회했습니다.
| 항목 | 값 |
| --- | --- |
| 시리즈 | JAH25 |
| 브랜드 | ALU-POWER HPC |
| 설명 | ALU-POWER HPC 3 Flute 37°Helix Corner Radius with Neck End mill |
| 주요 feature | Suitable for high-speed machining in aluminum and other non-ferrous materials.&lt;br/&gt;Mirror surface - Excellent surface finish.&lt;br/&gt;Excellent performance with high feed, RPM, and high chip removal. |
| 공구 타입 | Solid |
| 형상 | Side_Milling,Slotting,Die-Sinking,Corner_Radius,Small_Part,Facing,Helical_Interpolation, Corner_Radius, Corner Radius |
| 날 수 | 3날 |
| 코팅 | DLC |
| 공구 소재 | Carbide |
| 직경 범위 | φ6~20mm |
| ISO | - |
| 피삭재 | Aluminum, Copper, Non-ferrous |
| HRC | - |
| 국가 | ASIA, EUROPE |
| EDP 수 | 104개 |
[Reference: YG-1 내부 DB]
  [선택지: 다른 시리즈 비교 | 브랜드 차이 보기 | 추천 제품 보기]
👤 사용자: Corner Radius 제품 추천해줘
🤖 AI assistant [응답 👎] [선택지 👎]: 코팅 종류 선호가 있으신가요? 후보 중에 Bright Finish, DLC, X-Coating 등이 있습니다.
  [선택지: 추천으로 골라줘 | 쉽게 설명해줘 | Bright Finish (154개) | DLC (29개)란? | 상관없음]</t>
  </si>
  <si>
    <t>🎯 의도: 알루미늄·구리 등 비철 소재용 Corner Radius 제품 추천
✅ 정답 행동: 현재 조건(알루미늄, Milling, φ10mm, Corner Radius)에 맞는 후보를 바로 추천하거나, 비철금속용으로 필터를 전환해 적합한 시리즈/제품을 제시했어야 함. 사용자가 "구리요"로 소재를 정정했으므로 구리/비철 기준으로 재탐색해 추천해야 함.
⚠️ 당시 문제: 코팅 선호만 다시 물어보고 추천을 미룸
💬 코멘트 분석: 추천을 원하는데 재질 정정 후에도 제품 제시 없이 질문만 반복한 점이 불만 핵심</t>
  </si>
  <si>
    <t>최종 평가: 👎 / 응답: 👍2 👎5 총 7개 응답 / 선택지: 👍2 👎5</t>
  </si>
  <si>
    <t>tf-evt-mn5fzs4l-cqoiqvx8</t>
  </si>
  <si>
    <t>RLH-0196</t>
  </si>
  <si>
    <t>알루미늄 10mm 밀링용 신규 엔드밀 추천 요청</t>
  </si>
  <si>
    <t>🧭 초기 조건: 문의 목적=신규 제품 추천 / 피삭재 (소재)=알루미늄 / 가공 방식=Milling / 공구 직경=10mm
🤖 AI assistant [응답 👎] [선택지 👎]: 알루미늄 소재를 10mm 엔드밀로 밀링 가공하시는군요. 현재 424개 제품이 매칭됩니다.
작업하실 알루미늄의 종류를 알려주시겠어요? 순알루미늄인지, 6061 같은 합금인지에 따라 최적 제품이 달라집니다.
  [선택지: 비철금속 | 알루미늄 | 알루미늄 합금 | 상관없음]
👤 사용자: 알루미늄
🤖 AI assistant [응답 👎] [선택지 👎]: 네, 알루미늄 가공용 10mm 엔드밀이죠. 공구 끝 형상을 선택해주세요:
• Square (평날) - 직각 모서리, 측면·바닥 가공
• Radius (라운드) - 둥근 모서리, 공구 수명↑, 표면조도↑
• 상관없음 - 범용 추천
어떤 형상이 필요하세요?
  [선택지: Square (34개) | Radius (32개) | 상관없음 | ⟵ 이전 단계]</t>
  </si>
  <si>
    <t>🎯 의도: 알루미늄 가공에 맞는 10mm 밀링 엔드밀 신규 제품 추천
✅ 정답 행동: 알루미늄 조건을 확인했으면 바로 추천 가능한 범위에서 핵심 스펙(형상/코팅/날수)까지 묶어 1~3개 제품을 제안했어야 합니다. 추가 질문은 꼭 필요한 정보가 아닐 때만 최소화해야 합니다.
⚠️ 당시 문제: 불필요하게 형상만 다시 물으며 추천을 지연함
💬 코멘트 분석: 최종 평가가 불만이며, 응답과 선택지 모두 부정확하다는 점이 핵심</t>
  </si>
  <si>
    <t>tf-evt-mn5iz36x-jak9zmmo</t>
  </si>
  <si>
    <t>RLH-0197</t>
  </si>
  <si>
    <t>알루미늄 10mm 밀링 공구 추천, 형상 선택 유도</t>
  </si>
  <si>
    <t>🧭 초기 조건: 문의 목적=신규 제품 추천 / 피삭재 (소재)=알루미늄 / 가공 방식=Milling / 공구 직경=10mm
🤖 AI assistant [응답 👍] [선택지 👍]: 알루미늄 소재, 직경 10mm 밀링 공구를 찾으시는군요. 현재 424개 제품이 매칭됩니다.
알루미늄 내에서도 세부 소재에 따라 최적 제품이 달라집니다. 어떤 소재를 가공하시나요?
  [선택지: 비철금속 | 알루미늄 | 알루미늄 합금 | 상관없음]
👤 사용자: 알루미늄
🤖 AI assistant [응답 👎] [선택지 👎]: 네, 알루미늄 가공용으로 안내드리고 있습니다.
공구 끝 형상을 선택해주세요. **Square**는 모서리 가공이나 정밀한 직각 면 가공에 좋고, **Radius**는 강도가 높아 고속 가공이나 내구성이 중요할 때 유리합니다. 어떤 형상이 필요하신가요?
  [선택지: Square (34개) | Radius (32개) | 상관없음 | ⟵ 이전 단계]</t>
  </si>
  <si>
    <t>🎯 의도: 알루미늄용 10mm 밀링 신규 제품 추천을 받는 것
✅ 정답 행동: 알루미늄 선택을 반영해 바로 후보 제품을 좁히고, 필요한 경우 끝 형상(Square/Radius/상관없음)을 간단히 안내하며 다음 선택을 요청했어야 함.
⚠️ 당시 문제: 특이사항 없음
💬 코멘트 분석: 코멘트 없음</t>
  </si>
  <si>
    <t>tf-evt-mn5z748x-z1ithpzt</t>
  </si>
  <si>
    <t>RLH-0198</t>
  </si>
  <si>
    <t>알루미늄 10mm 밀링용 공구와 제품 설명 요청</t>
  </si>
  <si>
    <t>🧭 초기 조건: 문의 목적=신규 제품 추천 / 피삭재 (소재)=알루미늄 / 가공 방식=Milling / 공구 직경=10mm
🤖 AI assistant [응답 👍] [선택지 👍]: 알루미늄 소재, 직경 10mm 밀링 공구를 찾으시는군요. 현재 424개 제품이 매칭됩니다.
알루미늄 내에서도 세부 소재에 따라 최적 제품이 달라집니다. 어떤 소재를 가공하시나요?
  [선택지: 비철금속 | 알루미늄 | 알루미늄 합금 | 상관없음]
👤 사용자: 알루미늄
🤖 AI assistant [응답 👎] [선택지 👎]: 네, 알루미늄 가공용으로 안내드리고 있습니다.
공구 끝 형상을 선택해주세요. **Square**는 모서리 가공이나 정밀한 직각 면 가공에 좋고, **Radius**는 강도가 높아 고속 가공이나 내구성이 중요할 때 유리합니다. 어떤 형상이 필요하신가요?
  [선택지: Square (34개) | Radius (32개) | 상관없음 | ⟵ 이전 단계]
👤 사용자: aLu-cut 제품이랑 General Hss end mills 브랜드에 대해서 좀 알려줘,,,
🤖 AI assistant [응답 👎] [선택지 👎]: **aLu-Power**는 YG-1의 알루미늄 전용 초경 엔드밀 시리즈입니다. 날카로운 절삭날과 대형 칩 배출 홈 설계로 고속 가공 시 칩 막힘 없이 우수한 표면조도를 구현합니다. 특히 Al-Si 합금이나 주조 알루미늄 가공에서 탁월한 성능을 보입니다.
**General HSS End Mills**는 범용 고속도강(HSS) 엔드밀로, 경제적인 가격과 범용성이 장점입니다. 알루미늄부터 연강까지 다양한 소재에 사용 가능하며, 초경 대비 인성이 좋아 범용 가공이나 소량 작업에 적합합니다.
알루미늁 전용 고성능이 필요하시면 aLu-Power를, 경제성과 범용성을 원하시면 General HSS를 추천드립니다. 어떤 방향으로 진행하실까요?
  [선택지: 쉽게 설명해줘 | 추천으로 골라줘 | 상관없음 | Square란? | Radius란? …]</t>
  </si>
  <si>
    <t>🎯 의도: 알루미늄 10mm 밀링에 맞는 제품 추천과 aLu-cut/General HSS 차이 설명
✅ 정답 행동: 초기 조건에 맞춰 10mm 알루미늄 밀링용 후보를 추천하고, 사용자가 묻는 aLu-cut 및 General HSS End Mills의 차이와 용도를 정확히 설명했어야 한다. 추가로 사용 목적에 맞게 고성능 초경 vs 범용 HSS 중 어떤 선택이 적절한지 간단히 정리했어야 한다.
⚠️ 당시 문제: aLu-cut 제품명을 aLu-Power로 잘못 안내했고, 대화 흐름상 묻지 않은 다른 형상 선택을 유도했다.
💬 코멘트 분석: 최종 평가가 부정적이며, 제품/선택지 응답의 정확도와 맥락 적합성이 부족했다는 불만이다.</t>
  </si>
  <si>
    <t>최종 평가: 👎 / 응답: 👍1 👎2 총 3개 응답 / 선택지: 👍1 👎2</t>
  </si>
  <si>
    <t>tf-evt-mn5zcni2-w4he288a</t>
  </si>
  <si>
    <t>RLH-0199</t>
  </si>
  <si>
    <t>알루미늄 10mm 밀링용 공구 추천과 조건 확인 요청</t>
  </si>
  <si>
    <t>🧭 초기 조건: 문의 목적=신규 제품 추천 / 피삭재 (소재)=알루미늄 / 가공 방식=Milling / 공구 직경=10mm
🤖 AI assistant [응답 👎] [선택지 👎]: 알루미늄 10mm 엔드밀 추천해드릴게요. 현재 424개 제품이 매칭됩니다.
알루미늄 중에서도 구체적으로 어떤 소재인가요?
  [선택지: 비철금속 | 알루미늄 | 알루미늄 합금 | 상관없음]
👤 사용자: 상관없음
🤖 AI assistant [응답 👎] [선택지 👎]: 코팅 종류 선호가 있으신가요? 후보 중에 Bright Finish, DLC, X-Coating 등이 있습니다.
  [선택지: Bright Finish (154개) | X-Coating (32개) | DLC (29개) | UNCOATED (18개) | 상관없음 …]</t>
  </si>
  <si>
    <t>🎯 의도: 알루미늄 10mm 밀링용 절삭공구를 추천받고 싶었음
✅ 정답 행동: 알루미늄 조건이 이미 충분하므로, 코팅 선호 질문보다 바로 추천 후보를 제시하거나 핵심 추가조건(예: 날수, 재질, 가공 깊이, 고속가공 여부) 중 우선순위 높은 항목만 1개 물어봐야 함.  
사용자 답변이 “상관없음”이므로 불필요한 세부 분기 대신 추천 범위를 좁히는 질문으로 이어가야 함.
⚠️ 당시 문제: 알루미늄만으로도 추천이 가능했는데 코팅 종류를 먼저 물어 대화가 비효율적이었음
💬 코멘트 분석: 불필요한 추가 질문이 반복되어 응답과 선택지 모두 부정확했다는 불만</t>
  </si>
  <si>
    <t>tf-evt-mn5zplwu-i4ez12gb</t>
  </si>
  <si>
    <t>RLH-0200</t>
  </si>
  <si>
    <t>티타늄 10mm 슬롯 밀링 공구 추천 요청</t>
  </si>
  <si>
    <t>🧭 초기 조건: 문의 목적=신규 제품 추천 / 피삭재 (소재)=티타늄 / 가공 형상=Slotting / 가공 방식=Milling / 공구 직경=10mm
🤖 AI assistant: 티타늄 소재 10mm 슬로팅 가공이시군요. 현재 353개 제품이 매칭됩니다.
티타늄 소재를 좀 더 구체적으로 알려주시겠어요? 순수 티타늄인지, 티타늄 합금(Ti-6Al-4V 등)인지요?
  [선택지: 내열합금 | 인코넬 | 티타늄 | 티타늄 합금 | 상관없음]
👤 사용자: 상관없음
🤖 AI assistant [응답 👎] [선택지 👎]: 현재 353개 후보가 있습니다. 날 수(flute) 선호가 있으신가요?
  [선택지: 4날 (200개) | 6날 (51개) | 3날 (41개) | 5날 (32개) | 상관없음 …]</t>
  </si>
  <si>
    <t>🎯 의도: 티타늄 소재 10mm Slotting용 밀링 공구 추천
✅ 정답 행동: 사용자가 소재 구분을 “상관없음”으로 선택했으므로 다음 핵심 조건(날 수, 코팅, 길이/절삭날 길이 등)을 이어서 질문하거나 후보군을 좁혀 추천해야 함.
⚠️ 당시 문제: 특이사항 없음
💬 코멘트 분석: 추가 질의는 가능하지만, 우선 후보를 좁혀가는 다음 조건 안내가 필요하다는 불만으로 보임</t>
  </si>
  <si>
    <t>최종 평가: 👎 / 응답: 👎1 총 2개 응답 / 선택지: 👎1</t>
  </si>
  <si>
    <t>tf-evt-mn61g5ry-9wisc6cq</t>
  </si>
  <si>
    <t>RLH-0201</t>
  </si>
  <si>
    <t>램핑용 Square 2날 공구 추천 요청</t>
  </si>
  <si>
    <t>🧭 초기 조건: 문의 목적=신규 제품 추천 / 피삭재 (소재)=고경도강 / 가공 방식=Milling / 공구 직경=10mm
🤖 AI assistant [응답 👍] [선택지 👍]: 공구 세부 타입이 중요한가요? Radius (299개), Square (223개), Ball (113개) 등이 있습니다.
  [선택지: Radius (299개) | Square (223개) | Ball (113개) | Roughing (4개) | 상관없음 …]
👤 사용자: 램핑 가공을 하려고 하는데 무슨 날이 좋나요?
🤖 AI assistant: 램핑 가공에는 **2날 엔드밀**이 가장 적합합니다. 칩 배출 공간이 넓어 축 방향 절삭 시 칩 막힘이 적고, 재연삭도 용이합니다. 다만 2날은 강성이 낮아 적절한 램핑 각도(3~5°)와 이송 속도 설정이 중요하며, 절입각이 작을수록 절삭 저항이 줄어 공구 수명이 길어집니다.
현재 추천 제품 중에는 2날이 없지만, **4날 SEME73 시리즈**(#5~#10)가 30° 헬릭스 각으로 램핑 시 칩 배출이 원활하고, Rib 형상으로 강성이 보강되어 있어 차선책으로 적합합니다. 2날 제품을 원하시면 날수 조건을 변경해 재검색할 수 있습니다.
📌 웹 검색 참고 (내부 DB 외부 정보)
  [선택지: Radius | Square | Roughing | 상관없음]
👤 사용자: 날형상이요,,
🤖 AI assistant: 램핑 가공에는 **Square(평날)** 엔드밀이 가장 적합합니다. 축 방향 절입 시 중심부 강성이 높아 처짐이나 절손 위험이 적고, Ball 대비 절삭 저항이 낮아 안정적입니다. Radius는 측면 가공 시 모서리 강도가 좋지만 램핑에서는 Square만큼 효율적이지 않습니다.
현재 추천 목록에는 **Roughing(황삭용)**과 **Rib(리브 강화형)** 제품이 주로 포함되어 있어, 순수 Square 형상은 별도 필터링이 필요합니다. 고경도강 램핑이라면 **4날 30° 헬릭스(SEME73 계열)**가 칩 배출과 강성 균형이 좋습니다.
  [선택지: Radius | Square | Roughing | 상관없음]
👤 사용자: 그럼 Square 2날로 추천해주세요
🤖 AI assistant [응답 👎] [선택지 👎]: 현재 227개 후보가 있습니다. 날 수(flute) 선호가 있으신가요?
  [선택지: 4날 (113개) | 2날 (79개) | 6날 (33개) | 3날 (2개) | 상관없음 …]</t>
  </si>
  <si>
    <t>🎯 의도: 고경도강 램핑 가공에 맞는 Square 형상 2날 엔드밀을 추천받고 싶음
✅ 정답 행동: Square + 2날 조건으로 바로 후보를 좁혀 추천하거나, 해당 조건이 불리하면 그 이유를 짧게 설명하고 대안(예: 4날)을 함께 제시해야 함.
⚠️ 당시 문제: Square 2날 요청에 대해 다시 날수만 물어보며 조건 반영 없이 되묻는 응답이었음
💬 코멘트 분석: 추천 과정이 1번 더 반복되었고, 사용자는 최종적으로 "Square 2날" 조건에 맞는 실제 추천을 원함</t>
  </si>
  <si>
    <t>tf-evt-mn8exp4y-44jsbu8y</t>
  </si>
  <si>
    <t>source_feedback_id</t>
  </si>
  <si>
    <t>sessionId</t>
  </si>
  <si>
    <t>timestamp</t>
  </si>
  <si>
    <t>emoji</t>
  </si>
  <si>
    <t>resolution_status</t>
  </si>
  <si>
    <t>candidateCount</t>
  </si>
  <si>
    <t>candidate_trajectory</t>
  </si>
  <si>
    <t>narrowingHistory_json</t>
  </si>
  <si>
    <t>appliedFilters_json</t>
  </si>
  <si>
    <t>chatHistory_preview</t>
  </si>
  <si>
    <t>failure_category</t>
  </si>
  <si>
    <t>stuck_detected</t>
  </si>
  <si>
    <t>ses-1773990131447</t>
  </si>
  <si>
    <t>2026-03-20T07:07:19.649000</t>
  </si>
  <si>
    <t>[]</t>
  </si>
  <si>
    <t>ses-1774221178535</t>
  </si>
  <si>
    <t>2026-03-22T23:26:10.051000</t>
  </si>
  <si>
    <t>ses-1774222235000</t>
  </si>
  <si>
    <t>2026-03-22T23:37:38.008000</t>
  </si>
  <si>
    <t>ses-1774225148919</t>
  </si>
  <si>
    <t>2026-03-23T00:40:28.729000</t>
  </si>
  <si>
    <t>ses-1774239681533</t>
  </si>
  <si>
    <t>2026-03-23T04:30:30.526000</t>
  </si>
  <si>
    <t>ses-1774240290557</t>
  </si>
  <si>
    <t>2026-03-23T04:40:25.555000</t>
  </si>
  <si>
    <t>2026-03-23T04:51:08.064000</t>
  </si>
  <si>
    <t>ses-1774241539864</t>
  </si>
  <si>
    <t>2026-03-23T04:55:08.689000</t>
  </si>
  <si>
    <t>2026-03-23T04:58:14.613000</t>
  </si>
  <si>
    <t>ses-1774242267717</t>
  </si>
  <si>
    <t>2026-03-23T05:08:25.718000</t>
  </si>
  <si>
    <t>ses-1774242612265</t>
  </si>
  <si>
    <t>2026-03-23T05:21:23.595000</t>
  </si>
  <si>
    <t>ses-1774243585148</t>
  </si>
  <si>
    <t>2026-03-23T05:34:55.751000</t>
  </si>
  <si>
    <t>ses-1774243876810</t>
  </si>
  <si>
    <t>2026-03-23T05:36:08.559000</t>
  </si>
  <si>
    <t>2026-03-23T05:43:13.834000</t>
  </si>
  <si>
    <t>ses-1774244924038</t>
  </si>
  <si>
    <t>2026-03-23T05:56:59.123000</t>
  </si>
  <si>
    <t>ses-1774307298004</t>
  </si>
  <si>
    <t>2026-03-23T23:19:29.260000</t>
  </si>
  <si>
    <t>ses-1774309266950</t>
  </si>
  <si>
    <t>2026-03-23T23:51:29.968000</t>
  </si>
  <si>
    <t>2026-03-24T00:08:32.966000</t>
  </si>
  <si>
    <t>ses-1774310260708</t>
  </si>
  <si>
    <t>2026-03-24T00:11:13.402000</t>
  </si>
  <si>
    <t>ses-1774311214402</t>
  </si>
  <si>
    <t>2026-03-24T00:16:56.304000</t>
  </si>
  <si>
    <t>ses-1774311685815</t>
  </si>
  <si>
    <t>2026-03-24T00:23:18.181000</t>
  </si>
  <si>
    <t>ses-1774312879799</t>
  </si>
  <si>
    <t>2026-03-24T00:49:48.056000</t>
  </si>
  <si>
    <t>2026-03-24T00:51:37.351000</t>
  </si>
  <si>
    <t>ses-1774313821293</t>
  </si>
  <si>
    <t>2026-03-24T01:00:41.762000</t>
  </si>
  <si>
    <t>ses-1774317002318</t>
  </si>
  <si>
    <t>2026-03-24T02:01:16.181000</t>
  </si>
  <si>
    <t>2026-03-24T02:14:29.622000</t>
  </si>
  <si>
    <t>ses-1774318927164</t>
  </si>
  <si>
    <t>2026-03-24T02:42:47.566000</t>
  </si>
  <si>
    <t>ses-1774330674570</t>
  </si>
  <si>
    <t>2026-03-24T06:02:01.772000</t>
  </si>
  <si>
    <t>2026-03-24T06:04:20.862000</t>
  </si>
  <si>
    <t>2026-03-24T06:08:20.129000</t>
  </si>
  <si>
    <t>ses-1774338603919</t>
  </si>
  <si>
    <t>2026-03-24T07:54:20.739000</t>
  </si>
  <si>
    <t>ses-1774394538207</t>
  </si>
  <si>
    <t>2026-03-24T23:24:35.021000</t>
  </si>
  <si>
    <t>2026-03-24T23:47:16.066000</t>
  </si>
  <si>
    <t>ses-1774396516959</t>
  </si>
  <si>
    <t>2026-03-25T00:03:09.593000</t>
  </si>
  <si>
    <t>ses-1774397433620</t>
  </si>
  <si>
    <t>2026-03-25T00:13:52.528000</t>
  </si>
  <si>
    <t>2026-03-25T04:46:23.477000</t>
  </si>
  <si>
    <t>ses-1774415419238</t>
  </si>
  <si>
    <t>2026-03-25T05:18:56.253000</t>
  </si>
  <si>
    <t>ses-1774418990168</t>
  </si>
  <si>
    <t>2026-03-25T06:16:40.866000</t>
  </si>
  <si>
    <t>ses-1774489280636</t>
  </si>
  <si>
    <t>2026-03-26T02:29:55.997Z</t>
  </si>
  <si>
    <t>resolved_approximate</t>
  </si>
  <si>
    <t>9,912→3,078→449→110</t>
  </si>
  <si>
    <t>[{"q": "initial", "a": "그럼 Radius 타입으로 해주세요 소재는 알루미늄 이구요", "ef": [{"f": "toolSubtype", "v": "Radius", "op": "includes"}, {"f": "workPieceName", "v": "알루미늄", "op": "includes"}], "b": 9912, "a_": 3078}, {"q": "follow-up", "a": "3날 (449개)", "ef": [{"f": "fluteCount", "v": "3날", "op": "eq"}], "b": 3078, "a_": 449}, {"q": "follow-up", "a": "Bright Finish (98개)", "ef": [{"f": "coating", "v": "Bright Finish", "op": "includes"}], "b": 449, "a_": 110}]</t>
  </si>
  <si>
    <t>["toolSubtype=Radius", "workPieceName=알루미늄", "fluteCount=3날", "coating=Bright Finish"]</t>
  </si>
  <si>
    <t>[user] 🎯 문의 목적: 신규 제품 추천 🔩 피삭재 (소재): 모름 ⚙️ 가공 형상: 모름 🔧 가공 방식: Milling 📏 공구 직경: 모름  위 조건으로 적합한 YG-1 제품을 추천해주세요.
[ai] 공구 세부 타입이 중요한가요? Square (4484개), Radius (3070개), Ball (1105개) 등이 있습니다.
[user] 램핑 가공용이 있나요?</t>
  </si>
  <si>
    <t>ses-1774416884607</t>
  </si>
  <si>
    <t>2026-03-25T05:38:42.727Z</t>
  </si>
  <si>
    <t>resolved_exact</t>
  </si>
  <si>
    <t>406→10→5→5→43→5</t>
  </si>
  <si>
    <t>[{"q": "initial", "a": "알루미늄 합금", "ef": [{"f": "workPieceName", "v": "알루미늄 합금", "op": "includes"}], "b": 406, "a_": 10}, {"q": "follow-up", "a": "날수로 좁히기 (2날/4날)", "ef": [{"f": "fluteCount", "v": "2날", "op": "eq"}], "b": 10, "a_": 5}, {"q": "follow-up", "a": "추천으로 골라줘", "ef": [{"f": "unknown", "v": "상관없음", "op": "skip"}], "b": 5, "a_": 5}, {"q": "follow-up", "a": "네 해줘요", "ef": [{"f": "unknown", "v": "상관없음", "op": "skip"}], "b": 43, "a_": 43}, {"q": "follow-up", "a": "지금 날수 4개 짜리들이야? 코팅으로 더 좁히자", "ef": [{"f": "coating", "v": "코팅으로 좁히기 (TiAlN/TiCN/Bright Finish)", "op": "includes"}], "b": 43, "a_": 5}]</t>
  </si>
  <si>
    <t>["workPieceName=알루미늄 합금", "fluteCount=2", "coating=코팅으로 좁히기 (TiAlN/TiCN/Bright Finish)"]</t>
  </si>
  <si>
    <t>[user] 🎯 문의 목적: 신규 제품 추천 🔩 피삭재 (소재): 알루미늄 ⚙️ 가공 형상: 모름 🔧 가공 방식: Milling 📏 공구 직경: 8mm  위 조건으로 적합한 YG-1 제품을 추천해주세요.
[ai] 알루미늄 8mm 엔드밀이시군요. 현재 406개 제품이 매칭됩니다.  알루미늄 중에서도 구체적인 소재를 알려주시면 더 정확한 추천이 가능합니다. 어떤 소재인가요?
[user] 알루미늄 합금</t>
  </si>
  <si>
    <t>ses-1774373135114</t>
  </si>
  <si>
    <t>2026-03-24T18:19:52.060Z</t>
  </si>
  <si>
    <t>353→353→200→71→44</t>
  </si>
  <si>
    <t>[{"q": "follow-up", "a": "상관없음", "ef": [{"f": "workPieceName", "v": "상관없음", "op": "skip"}], "b": 353, "a_": 353}, {"q": "follow-up", "a": "4날 (200개)", "ef": [{"f": "fluteCount", "v": "4날", "op": "eq"}], "b": 353, "a_": 200}, {"q": "follow-up", "a": "Y-Coating (71개)", "ef": [{"f": "coating", "v": "Y-Coating", "op": "includes"}], "b": 200, "a_": 71}, {"q": "follow-up", "a": "제품 중에서 코너래디우스만 추천해주세요", "ef": [{"f": "toolSubtype", "v": "Radius", "op": "includes"}], "b": 71, "a_": 44}]</t>
  </si>
  <si>
    <t>["fluteCount=4날", "coating=Y-Coating", "toolSubtype=Radius"]</t>
  </si>
  <si>
    <t>[user] 🎯 문의 목적: 신규 제품 추천 🔩 피삭재 (소재): 티타늄 ⚙️ 가공 형상: Slotting 🔧 가공 방식: Milling 📏 공구 직경: 10mm  위 조건으로 적합한 YG-1 제품을 추천해주세요.
[ai] 티타늄 소재, 슬로팅 가공, φ10mm 조건으로 353개 제품이 매칭됩니다. 티타늄 중에서도 세부 소재를 선택해주시면 더 정확한 추천이 가능합니다. 어떤 소재인가요?  [내열합금 | 니켈 기반 내열합금 | 인코넬 |
[user] 상관없음</t>
  </si>
  <si>
    <t>ses-1774416783704</t>
  </si>
  <si>
    <t>2026-03-25T05:34:02.590Z</t>
  </si>
  <si>
    <t>406→10→5→5→43</t>
  </si>
  <si>
    <t>[{"q": "initial", "a": "알루미늄 합금", "ef": [{"f": "workPieceName", "v": "알루미늄 합금", "op": "includes"}], "b": 406, "a_": 10}, {"q": "follow-up", "a": "날수로 좁히기 (2날/4날)", "ef": [{"f": "fluteCount", "v": "2날", "op": "eq"}], "b": 10, "a_": 5}, {"q": "follow-up", "a": "추천으로 골라줘", "ef": [{"f": "unknown", "v": "상관없음", "op": "skip"}], "b": 5, "a_": 5}, {"q": "follow-up", "a": "네 해줘요", "ef": [{"f": "unknown", "v": "상관없음", "op": "skip"}], "b": 43, "a_": 43}]</t>
  </si>
  <si>
    <t>["workPieceName=알루미늄 합금", "fluteCount=2"]</t>
  </si>
  <si>
    <t>ses-1774580504833</t>
  </si>
  <si>
    <t>2026-03-27T03:02:04.114Z</t>
  </si>
  <si>
    <t>narrowing</t>
  </si>
  <si>
    <t>1,852→275→177→49→49</t>
  </si>
  <si>
    <t>[{"q": "initial", "a": "알루미늄 (275개)", "ef": [{"f": "workPieceName", "v": "알루미늄", "op": "includes"}], "b": 1852, "a_": 275}, {"q": "follow-up", "a": "3날 (177개)", "ef": [{"f": "fluteCount", "v": "3날", "op": "eq"}], "b": 275, "a_": 177}, {"q": "follow-up", "a": "3날 말고 2날로 변경", "ef": [{"f": "fluteCount", "v": "2날", "op": "eq"}], "b": 177, "a_": 49}, {"q": "follow-up", "a": "일단 공구 세부 타입을 Square 로", "ef": [{"f": "toolSubtype", "v": "Square", "op": "includes"}], "b": 49, "a_": 49}]</t>
  </si>
  <si>
    <t>["workPieceName=알루미늄", "fluteCount=2날", "toolSubtype=Square"]</t>
  </si>
  <si>
    <t>[user] 🎯 문의 목적: 신규 제품 추천 🔩 피삭재 (소재): 알루미늄 ⚙️ 가공 형상: 모름 🔧 가공 방식: Milling 📏 공구 직경: 모름  위 조건으로 적합한 YG-1 제품을 추천해주세요.
[ai] 안녕하세요! 알루미늄 소재 밀링 가공을 위한 제품을 찾아드리겠습니다.  현재 조건으로 1,852개의 제품이 검색되었습니다. 더 정확한 추천을 위해 몇 가지 조건을 좁혀가겠습니다.  선택하신 소재는 ISO N (비철)
[user] 알루미늄 (275개)</t>
  </si>
  <si>
    <t>ses-1774368900861</t>
  </si>
  <si>
    <t>2026-03-24T16:19:56.531Z</t>
  </si>
  <si>
    <t>405→405→15→5</t>
  </si>
  <si>
    <t>[{"q": "initial", "a": "익산 공장 정보줘", "ef": [{"f": "workPieceName", "v": "익산 공장 정보줘", "op": "includes"}], "b": 405, "a_": 405}, {"q": "follow-up", "a": "TiAlN", "ef": [{"f": "coating", "v": "TiAlN", "op": "includes"}], "b": 405, "a_": 15}, {"q": "follow-up", "a": "2날 (5개)", "ef": [{"f": "fluteCount", "v": "2날", "op": "eq"}], "b": 15, "a_": 5}]</t>
  </si>
  <si>
    <t>["workPieceName=익산 공장 정보줘", "coating=TiAlN", "fluteCount=2날"]</t>
  </si>
  <si>
    <t>[user] 🎯 문의 목적: 신규 제품 추천 🔩 피삭재 (소재): 알루미늄 ⚙️ 가공 형상: Side_Milling 🔧 가공 방식: Milling 📏 공구 직경: 6mm  위 조건으로 적합한 YG-1 제품을 추천해주세요.
[ai] 알루미늄 소재 6mm 엔드밀 측면가공용으로 405개 제품이 있습니다. 알루미늄 세부 소재를 선택해주세요 — 연질/단조합금/주조합금/일반합금 중 어떤 것인가요?
[user] 익산 공장 정보줘</t>
  </si>
  <si>
    <t>ses-1774369257654</t>
  </si>
  <si>
    <t>2026-03-24T16:21:07.411Z</t>
  </si>
  <si>
    <t>424→66→34→24</t>
  </si>
  <si>
    <t>[{"q": "initial", "a": "알루미늄", "ef": [{"f": "workPieceName", "v": "알루미늄", "op": "includes"}], "b": 424, "a_": 66}, {"q": "follow-up", "a": "Square (34개)", "ef": [{"f": "toolSubtype", "v": "Square", "op": "includes"}], "b": 66, "a_": 34}, {"q": "follow-up", "a": "3날", "ef": [{"f": "fluteCount", "v": "3날", "op": "eq"}], "b": 34, "a_": 24}]</t>
  </si>
  <si>
    <t>["workPieceName=알루미늄", "toolSubtype=Square", "fluteCount=3날"]</t>
  </si>
  <si>
    <t>[user] 🎯 문의 목적: 신규 제품 추천 🔩 피삭재 (소재): 알루미늄 ⚙️ 가공 형상: Side_Milling 🔧 가공 방식: Milling 📏 공구 직경: 10mm  위 조건으로 적합한 YG-1 제품을 추천해주세요.
[ai] 알루미늄 소재, 10mm 직경으로 Side Milling 작업이시군요. 현재 424개 제품이 매칭됩니다.  알루미늄 중에서도 **연질 알루미늄**인가요, 아니면 **주조 합금**이나 **단조 합금** 같은 특정 종류
[user] 알루미늄</t>
  </si>
  <si>
    <t>ses-1774372326421</t>
  </si>
  <si>
    <t>2026-03-24T17:12:41.186Z</t>
  </si>
  <si>
    <t>353→353→200→71</t>
  </si>
  <si>
    <t>[{"q": "follow-up", "a": "상관없음", "ef": [{"f": "workPieceName", "v": "상관없음", "op": "skip"}], "b": 353, "a_": 353}, {"q": "follow-up", "a": "4날 (200개)", "ef": [{"f": "fluteCount", "v": "4날", "op": "eq"}], "b": 353, "a_": 200}, {"q": "follow-up", "a": "Y-Coating (71개)", "ef": [{"f": "coating", "v": "Y-Coating", "op": "includes"}], "b": 200, "a_": 71}]</t>
  </si>
  <si>
    <t>["fluteCount=4날", "coating=Y-Coating"]</t>
  </si>
  <si>
    <t>[user] 🎯 문의 목적: 신규 제품 추천 🔩 피삭재 (소재): 티타늄 ⚙️ 가공 형상: Slotting 🔧 가공 방식: Milling 📏 공구 직경: 10mm  위 조건으로 적합한 YG-1 제품을 추천해주세요.
[ai] 티타늄 소재를 10mm 엔드밀로 슬로팅 가공하시는군요. 현재 353개 제품이 매칭됩니다.  티타늄의 세부 종류를 알려주시면 더 정확한 추천이 가능합니다. 순수 티타늄인가요, 아니면 Ti-6Al-4V 같은 티타늄 합금
[user] 상관없음</t>
  </si>
  <si>
    <t>ses-1774372760786</t>
  </si>
  <si>
    <t>2026-03-24T17:19:52.829Z</t>
  </si>
  <si>
    <t>2026-03-24T17:21:19.712Z</t>
  </si>
  <si>
    <t>ses-1774373531996</t>
  </si>
  <si>
    <t>2026-03-24T17:32:32.900Z</t>
  </si>
  <si>
    <t>1,037→1,037→252→142</t>
  </si>
  <si>
    <t>[{"q": "follow-up", "a": "상관없음", "ef": [{"f": "workPieceName", "v": "상관없음", "op": "skip"}], "b": 1037, "a_": 1037}, {"q": "follow-up", "a": "Y-Coating (252개)", "ef": [{"f": "coating", "v": "Y-Coating", "op": "includes"}], "b": 1037, "a_": 252}, {"q": "follow-up", "a": "4날 (142개)", "ef": [{"f": "fluteCount", "v": "4날", "op": "eq"}], "b": 252, "a_": 142}]</t>
  </si>
  <si>
    <t>["coating=Y-Coating", "fluteCount=4날"]</t>
  </si>
  <si>
    <t>[user] 🎯 문의 목적: 신규 제품 추천 🔩 피삭재 (소재): 일반강 ⚙️ 가공 형상: Slotting 🔧 가공 방식: Milling 📏 공구 직경: 10mm  위 조건으로 적합한 YG-1 제품을 추천해주세요.
[ai] 일반강 소재에 10mm 엔드밀로 슬로팅 가공하시는군요. 현재 1,037개 제품이 매칭됩니다.  정확한 추천을 위해 세부 소재를 알려주세요. 고경도강, 공구강, 스테인리스강 400계 등 구체적인 재질이 있으신가요?
[user] 상관없음</t>
  </si>
  <si>
    <t>ses-1774380542850</t>
  </si>
  <si>
    <t>2026-03-24T19:29:25.594Z</t>
  </si>
  <si>
    <t>424→66→32→32</t>
  </si>
  <si>
    <t>[{"q": "initial", "a": "알루미늄(연질)", "ef": [{"f": "workPieceName", "v": "알루미늄", "op": "includes"}], "b": 424, "a_": 66}, {"q": "follow-up", "a": "Radius (32개)", "ef": [{"f": "toolSubtype", "v": "Radius", "op": "includes"}], "b": 66, "a_": 32}, {"q": "follow-up", "a": "날수로 좁힐래", "ef": [{"f": "fluteCount", "v": "날수로 좁힐래", "op": "includes"}], "b": 32, "a_": 32}]</t>
  </si>
  <si>
    <t>["workPieceName=알루미늄", "toolSubtype=Radius", "fluteCount=날수로 좁힐래"]</t>
  </si>
  <si>
    <t>[user] 🎯 문의 목적: 신규 제품 추천 🔩 피삭재 (소재): 알루미늄 ⚙️ 가공 형상: Side_Milling 🔧 가공 방식: Milling 📏 공구 직경: 10mm  위 조건으로 적합한 YG-1 제품을 추천해주세요.
[ai] 알루미늄 소재 10mm 엔드밀로 측면 가공하시는군요. 현재 424개 제품이 매칭됩니다.  알루미늄 세부 소재를 알려주시겠어요? 연질인지, 주조 합금인지에 따라 날 구조가 달라집니다.
[user] 알루미늄 주조 합금</t>
  </si>
  <si>
    <t>ses-1774397222405</t>
  </si>
  <si>
    <t>2026-03-25T00:17:20.511Z</t>
  </si>
  <si>
    <t>300→300→47→15</t>
  </si>
  <si>
    <t>[{"q": "follow-up", "a": "상관없음", "ef": [{"f": "workPieceName", "v": "상관없음", "op": "skip"}], "b": 300, "a_": 300}, {"q": "follow-up", "a": "X-코팅 제품으로 날장이 10mm 이상인 제품 추천해주세요", "ef": [{"f": "coating", "v": "X-Coating", "op": "includes"}], "b": 300, "a_": 47}, {"q": "follow-up", "a": "정삭이요", "ef": [{"f": "toolSubtype", "v": "Square", "op": "includes"}], "b": 47, "a_": 15}]</t>
  </si>
  <si>
    <t>["coating=X-Coating", "toolSubtype=Square"]</t>
  </si>
  <si>
    <t>[user] 🎯 문의 목적: 신규 제품 추천 🔩 피삭재 (소재): 스테인리스 ⚙️ 가공 형상: Side_Milling 🔧 가공 방식: Milling 📏 공구 직경: 10mm  위 조건으로 적합한 YG-1 제품을 추천해주세요.
[ai] 스테인리스 소재, 10mm 직경으로 사이드 밀링 가공하실 제품이 현재 300개 정도 있습니다.  스테인리스 중에서도 어떤 종류인가요? (일반 스테인리스강, 300계열, 400계열, PH강 등)
[user] 상관없음</t>
  </si>
  <si>
    <t>ses-1774406455873</t>
  </si>
  <si>
    <t>2026-03-25T02:42:29.766Z</t>
  </si>
  <si>
    <t>2,465→2,465→799→368</t>
  </si>
  <si>
    <t>[{"q": "follow-up", "a": "상관없음", "ef": [{"f": "workPieceName", "v": "상관없음", "op": "skip"}], "b": 2465, "a_": 2465}, {"q": "follow-up", "a": "4날 (799개)", "ef": [{"f": "fluteCount", "v": "4날", "op": "eq"}], "b": 2465, "a_": 799}, {"q": "follow-up", "a": "Y-Coating (368개)", "ef": [{"f": "coating", "v": "Y-Coating", "op": "includes"}], "b": 799, "a_": 368}]</t>
  </si>
  <si>
    <t>[user] 🎯 문의 목적: 신규 제품 추천 🔩 피삭재 (소재): 티타늄 ⚙️ 가공 형상: Slotting 🔧 가공 방식: Milling 📏 공구 직경: 모름  위 조건으로 적합한 YG-1 제품을 추천해주세요.
[ai] 티타늄 소재를 슬로팅 가공하시는군요. 현재 2,465개 제품이 매칭됩니다.  티타늄 중에서도 **순티타늄(Grade 2)인지, 합금(Ti-6Al-4V 등)인지** 알려주시겠어요? 아니면 "상관없음"으로 진행할까요?
[user] 상관없음</t>
  </si>
  <si>
    <t>ses-1774410307917</t>
  </si>
  <si>
    <t>2026-03-25T03:45:33.977Z</t>
  </si>
  <si>
    <t>[user] 🎯 문의 목적: 신규 제품 추천 🔩 피삭재 (소재): 티타늄 ⚙️ 가공 형상: Slotting 🔧 가공 방식: Milling 📏 공구 직경: 10mm  위 조건으로 적합한 YG-1 제품을 추천해주세요.
[ai] 티타늄 소재 10mm 슬로팅 가공이시군요. 현재 353개 제품이 매칭됩니다.  티타늄 중에서도 **순티타늄인지, 티타늄 합금(Ti-6Al-4V 등)인지, 아니면 인코넬 같은 내열합금**인지 알려주시면 더 정확한 추천
[user] 상관없음</t>
  </si>
  <si>
    <t>ses-1774416652466</t>
  </si>
  <si>
    <t>2026-03-25T05:31:46.002Z</t>
  </si>
  <si>
    <t>406→10→5→5</t>
  </si>
  <si>
    <t>[{"q": "initial", "a": "알루미늄 합금", "ef": [{"f": "workPieceName", "v": "알루미늄 합금", "op": "includes"}], "b": 406, "a_": 10}, {"q": "follow-up", "a": "날수로 좁히기 (2날/4날)", "ef": [{"f": "fluteCount", "v": "2날", "op": "eq"}], "b": 10, "a_": 5}, {"q": "follow-up", "a": "추천으로 골라줘", "ef": [{"f": "unknown", "v": "상관없음", "op": "skip"}], "b": 5, "a_": 5}]</t>
  </si>
  <si>
    <t>["workPieceName=알루미늄 합금", "fluteCount=2날"]</t>
  </si>
  <si>
    <t>2026-03-25T05:32:30.918Z</t>
  </si>
  <si>
    <t>["workPieceName=알루미늄 합금", "fluteCount=2", "unknown=skip"]</t>
  </si>
  <si>
    <t>ses-1774449112937</t>
  </si>
  <si>
    <t>2026-03-25T14:32:07.606Z</t>
  </si>
  <si>
    <t>406→28→28→28</t>
  </si>
  <si>
    <t>[{"q": "initial", "a": "Roughing (28개)", "ef": [{"f": "toolSubtype", "v": "Roughing", "op": "includes"}], "b": 406, "a_": 28}, {"q": "follow-up", "a": "8mm", "ef": [{"f": "diameterMm", "v": "8mm", "op": "eq"}], "b": 28, "a_": 28}, {"q": "follow-up", "a": "8mm", "ef": [{"f": "diameterMm", "v": "8mm", "op": "eq"}], "b": 28, "a_": 28}]</t>
  </si>
  <si>
    <t>["toolSubtype=Roughing", "diameterMm=8mm"]</t>
  </si>
  <si>
    <t>[user] 🎯 문의 목적: 신규 제품 추천 🔩 피삭재 (소재): 알루미늄 ⚙️ 가공 형상: 모름 🔧 가공 방식: Milling 📏 공구 직경: 8mm  위 조건으로 적합한 YG-1 제품을 추천해주세요.
[ai] 알루미늄 8mm 밀링 가공이시군요. 현재 406개 제품이 매칭됩니다.  어떤 날 형상이 필요하세요? Square(251개), Radius(75개), Roughing(28개), Drill Mill(12개) 중 선택해주
[user] Roughing (28개)</t>
  </si>
  <si>
    <t>ses-1774470317776</t>
  </si>
  <si>
    <t>2026-03-25T20:25:36.644Z</t>
  </si>
  <si>
    <t>424→24→13→13</t>
  </si>
  <si>
    <t>[{"q": "initial", "a": "Roughing (24개)", "ef": [{"f": "toolSubtype", "v": "Roughing", "op": "includes"}], "b": 424, "a_": 24}, {"q": "follow-up", "a": "3날 (13개)", "ef": [{"f": "fluteCount", "v": "3날", "op": "eq"}], "b": 24, "a_": 13}, {"q": "follow-up", "a": "10mm", "ef": [{"f": "diameterMm", "v": "10mm", "op": "eq"}], "b": 13, "a_": 13}]</t>
  </si>
  <si>
    <t>["toolSubtype=Roughing", "fluteCount=3날", "diameterMm=10mm"]</t>
  </si>
  <si>
    <t>[user] 🎯 문의 목적: 신규 제품 추천 🔩 피삭재 (소재): 알루미늄 ⚙️ 가공 형상: 모름 🔧 가공 방식: Milling 📏 공구 직경: 10mm  위 조건으로 적합한 YG-1 제품을 추천해주세요.
[ai] 알루미늄 밀링용 φ10mm 엔드밀이시군요. 현재 424개 제품이 매칭됩니다.  날 형상을 선택해주세요. Square(252개), Radius(95개), Roughing(24개), Drill Mill(8개) 중 어떤 
[user] Roughing (24개)</t>
  </si>
  <si>
    <t>ses-1774477000934</t>
  </si>
  <si>
    <t>2026-03-25T22:16:52.832Z</t>
  </si>
  <si>
    <t>406→406→406→1,852</t>
  </si>
  <si>
    <t>[{"q": "follow-up", "a": "이게 뭐야 추천해주고 그거로 진행해줘요", "ef": [{"f": "toolSubtype", "v": "상관없음", "op": "skip"}], "b": 406, "a_": 406}, {"q": "follow-up", "a": "추천으로 골라줘", "ef": [{"f": "fluteCount", "v": "상관없음", "op": "skip"}], "b": 0, "a_": 406}, {"q": "follow-up", "a": "추천으로 골라줘", "ef": [{"f": "diameterRefine", "v": "상관없음", "op": "skip"}], "b": 0, "a_": 1852}]</t>
  </si>
  <si>
    <t>[user] 🎯 문의 목적: 신규 제품 추천 🔩 피삭재 (소재): 알루미늄 ⚙️ 가공 형상: Side_Milling 🔧 가공 방식: Milling 📏 공구 직경: 8mm  위 조건으로 적합한 YG-1 제품을 추천해주세요.
[ai] 알루미늄 8mm 사이드 밀링용 엔드밀이시군요. 현재 406개 제품이 매칭됩니다.  공구 형상이 중요하신가요? Square(251개), Radius(75개), Roughing(28개), Drill Mill(12개) 중
[user] 이게 뭐야 추천해주고 그거로 진행해줘요</t>
  </si>
  <si>
    <t>ses-1774489109715</t>
  </si>
  <si>
    <t>2026-03-26T01:38:41.720Z</t>
  </si>
  <si>
    <t>4,656→562→168→39</t>
  </si>
  <si>
    <t>[{"q": "initial", "a": "8mm", "ef": [{"f": "diameterMm", "v": "8mm", "op": "eq"}], "b": 4656, "a_": 562}, {"q": "follow-up", "a": "Square (167개)", "ef": [{"f": "toolSubtype", "v": "Square", "op": "includes"}], "b": 562, "a_": 168}, {"q": "follow-up", "a": "3날", "ef": [{"f": "fluteCount", "v": "3날", "op": "eq"}], "b": 168, "a_": 39}]</t>
  </si>
  <si>
    <t>["diameterMm=8mm", "toolSubtype=Square", "fluteCount=3날"]</t>
  </si>
  <si>
    <t>[user] 🎯 문의 목적: 신규 제품 추천 🔩 피삭재 (소재): 알루미늄 ⚙️ 가공 형상: 모름 🔧 가공 방식: Milling 📏 공구 직경: 8mm  위 조건으로 적합한 YG-1 제품을 추천해주세요.
[ai] 알루미늄 8mm 밀링용 엔드밀이시네요. 현재 4,656개 제품이 있습니다.  직경 8mm 근처에 8.00, 8.03, 7.95, 7.94, 7.938mm가 있는데, 정확히 어떤 직경이 필요하신가요?
[user] 8mm</t>
  </si>
  <si>
    <t>ses-1774489135010</t>
  </si>
  <si>
    <t>2026-03-26T01:39:09.762Z</t>
  </si>
  <si>
    <t>2026-03-26T01:39:38.118Z</t>
  </si>
  <si>
    <t>ses-1774567289294</t>
  </si>
  <si>
    <t>2026-03-26T23:22:02.608Z</t>
  </si>
  <si>
    <t>406→406→122→2</t>
  </si>
  <si>
    <t>[{"q": "follow-up", "a": "상관없음", "ef": [{"f": "workPieceName", "v": "상관없음", "op": "skip"}], "b": 406, "a_": 406}, {"q": "follow-up", "a": "정확하게 8mm 없어 ?", "ef": [{"f": "diameterMm", "v": "8mm", "op": "eq"}], "b": 406, "a_": 122}, {"q": "follow-up", "a": "Ball (2개)", "ef": [{"f": "toolSubtype", "v": "Ball", "op": "includes"}], "b": 122, "a_": 2}]</t>
  </si>
  <si>
    <t>["diameterMm=8mm", "toolSubtype=Ball"]</t>
  </si>
  <si>
    <t>[user] 🎯 문의 목적: 신규 제품 추천 🔩 피삭재 (소재): 알루미늄 ⚙️ 가공 형상: Side_Milling 🔧 가공 방식: Milling 📏 공구 직경: 8mm  위 조건으로 적합한 YG-1 제품을 추천해주세요.
[ai] 알루미늄 소재, 8mm 직경으로 Side Milling 작업이시군요. 현재 406개 제품이 매칭됩니다.  알루미늁 내에서도 세부 소재에 따라 최적 제품이 달라집니다. 어떤 소재를 가공하시나요?
[user] 상관없음</t>
  </si>
  <si>
    <t>2026-03-26T23:22:30.654Z</t>
  </si>
  <si>
    <t>ses-1774568472319</t>
  </si>
  <si>
    <t>2026-03-26T23:42:02.809Z</t>
  </si>
  <si>
    <t>308→308→78→7</t>
  </si>
  <si>
    <t>[{"q": "follow-up", "a": "상관없음", "ef": [{"f": "workPieceName", "v": "상관없음", "op": "skip"}], "b": 308, "a_": 308}, {"q": "follow-up", "a": "10mm로 해줘요", "ef": [{"f": "diameterMm", "v": "10mm", "op": "eq"}], "b": 308, "a_": 78}, {"q": "follow-up", "a": "아 8.5mm로 바꿀래", "ef": [{"f": "diameterMm", "v": "8.5mm", "op": "eq"}], "b": 78, "a_": 7}]</t>
  </si>
  <si>
    <t>["diameterMm=8.5mm"]</t>
  </si>
  <si>
    <t>[user] 🎯 문의 목적: 신규 제품 추천 🔩 피삭재 (소재): 스테인리스 ⚙️ 가공 형상: Trochoidal 🔧 가공 방식: Milling 📏 공구 직경: 10mm  위 조건으로 적합한 YG-1 제품을 추천해주세요.
[ai] 스테인리스 소재, 10mm 직경으로 Trochoidal 가공용 엔드밀을 찾으시는군요. 현재 308개 제품이 매칭됩니다.  스테인리스 중에서도 구체적으로 어떤 재질을 가공하시나요?
[user] 상관없음</t>
  </si>
  <si>
    <t>2026-03-26T23:42:21.113Z</t>
  </si>
  <si>
    <t>["diameterMm=8.5mm", "workPieceName=skip"]</t>
  </si>
  <si>
    <t>2026-03-26T23:42:47.076Z</t>
  </si>
  <si>
    <t>ses-1774578995291</t>
  </si>
  <si>
    <t>2026-03-27T02:36:39.615Z</t>
  </si>
  <si>
    <t>424→24→24→24</t>
  </si>
  <si>
    <t>[{"q": "initial", "a": "Roughing (24개)", "ef": [{"f": "toolSubtype", "v": "Roughing", "op": "includes"}], "b": 424, "a_": 24}, {"q": "follow-up", "a": "즉시 구매 가능한 것만", "ef": [{"f": "inStock", "v": "true", "op": "includes"}], "b": 24, "a_": 24}, {"q": "follow-up", "a": "상관없음", "ef": [{"f": "fluteCount", "v": "상관없음", "op": "skip"}], "b": 24, "a_": 24}]</t>
  </si>
  <si>
    <t>["toolSubtype=Roughing", "inStock=true"]</t>
  </si>
  <si>
    <t>[user] 🎯 문의 목적: 신규 제품 추천 🔩 피삭재 (소재): 알루미늄 ⚙️ 가공 형상: Side_Milling 🔧 가공 방식: Milling 📏 공구 직경: 10mm  위 조건으로 적합한 YG-1 제품을 추천해주세요.
[ai] 공구 세부 타입이 중요한가요? Square (252개), Radius (95개), Roughing (24개) 등이 있습니다.
[user] Roughing (24개)</t>
  </si>
  <si>
    <t>ses-1774580414235</t>
  </si>
  <si>
    <t>2026-03-27T03:00:55.392Z</t>
  </si>
  <si>
    <t>424→24→11→2</t>
  </si>
  <si>
    <t>[{"q": "initial", "a": "Roughing (24개)", "ef": [{"f": "toolSubtype", "v": "Roughing", "op": "includes"}], "b": 424, "a_": 24}, {"q": "follow-up", "a": "4날 (11개)", "ef": [{"f": "fluteCount", "v": "4날", "op": "eq"}], "b": 24, "a_": 11}, {"q": "follow-up", "a": "GAA33 — TANK-POWER (2개)", "ef": [{"f": "seriesName", "v": "GAA33", "op": "includes"}], "b": 11, "a_": 2}]</t>
  </si>
  <si>
    <t>["toolSubtype=Roughing", "fluteCount=4날", "seriesName=GAA33"]</t>
  </si>
  <si>
    <t>[user] 🎯 문의 목적: 신규 제품 추천 🔩 피삭재 (소재): 알루미늄 ⚙️ 가공 형상: Side_Milling 🔧 가공 방식: Milling 📏 공구 직경: 10mm  위 조건으로 적합한 YG-1 제품을 추천해주세요.
[ai] 안녕하세요! 알루미늄 소재의 Side Milling 가공을 위한 직경 10mm 공구를 찾아드리겠습니다.  현재 조건에 맞는 제품이 424개 있습니다. 보다 정확한 추천을 위해 몇 가지 여쭤보겠습니다.  먼저, **공
[user] Roughing (24개)</t>
  </si>
  <si>
    <t>2026-03-27T03:01:08.355Z</t>
  </si>
  <si>
    <t>ses-1774580442872</t>
  </si>
  <si>
    <t>2026-03-27T03:01:09.320Z</t>
  </si>
  <si>
    <t>1,852→275→177→49</t>
  </si>
  <si>
    <t>[{"q": "initial", "a": "알루미늄 (275개)", "ef": [{"f": "workPieceName", "v": "알루미늄", "op": "includes"}], "b": 1852, "a_": 275}, {"q": "follow-up", "a": "3날 (177개)", "ef": [{"f": "fluteCount", "v": "3날", "op": "eq"}], "b": 275, "a_": 177}, {"q": "follow-up", "a": "3날 말고 2날로 변경", "ef": [{"f": "fluteCount", "v": "2날", "op": "eq"}], "b": 177, "a_": 49}]</t>
  </si>
  <si>
    <t>["workPieceName=알루미늄", "fluteCount=2날"]</t>
  </si>
  <si>
    <t>ses-1774584296452</t>
  </si>
  <si>
    <t>2026-03-27T04:05:03.312Z</t>
  </si>
  <si>
    <t>424→66→34→5</t>
  </si>
  <si>
    <t>[{"q": "initial", "a": "알루미늄 (66개)", "ef": [{"f": "workPieceName", "v": "알루미늄", "op": "includes"}], "b": 424, "a_": 66}, {"q": "follow-up", "a": "Square (34개)", "ef": [{"f": "toolSubtype", "v": "Square", "op": "includes"}], "b": 66, "a_": 34}, {"q": "follow-up", "a": "4날 (5개)", "ef": [{"f": "fluteCount", "v": "4날", "op": "eq"}], "b": 34, "a_": 5}]</t>
  </si>
  <si>
    <t>["workPieceName=알루미늄", "toolSubtype=Square", "fluteCount=4날"]</t>
  </si>
  <si>
    <t>[user] 🎯 문의 목적: 신규 제품 추천 🔩 피삭재 (소재): 알루미늄 ⚙️ 가공 형상: Side_Milling 🔧 가공 방식: Milling 📏 공구 직경: 10mm  위 조건으로 적합한 YG-1 제품을 추천해주세요.
[ai] 선택하신 소재는 ISO N (비철)군입니다. 세부 피삭재를 선택해주세요.
[user] 알루미늄 (66개)</t>
  </si>
  <si>
    <t>2026-03-27T04:05:49.003Z</t>
  </si>
  <si>
    <t>ses-1775143680278</t>
  </si>
  <si>
    <t>2026-04-02T15:30:02.787Z</t>
  </si>
  <si>
    <t>10,325→10,325→613→60</t>
  </si>
  <si>
    <t>[{"q": "follow-up", "a": "상관없어 ㅠㅠ", "ef": [{"f": "diameterRefine", "v": "상관없음", "op": "skip"}], "b": 10325, "a_": 10325}, {"q": "follow-up", "a": "Ball (612개)", "ef": [{"f": "toolSubtype", "v": "Ball", "op": "includes"}], "b": 10325, "a_": 613}, {"q": "follow-up", "a": "3날 (60개)", "ef": [{"f": "fluteCount", "v": "3날", "op": "eq"}], "b": 613, "a_": 60}]</t>
  </si>
  <si>
    <t>["toolSubtype=Ball", "fluteCount=3날", "diameterRefine=skip"]</t>
  </si>
  <si>
    <t>[user] 🧭 문의 목적: 신규 제품 추천 🧱 가공 소재: 모름 🛠️ 가공 방식: Milling 📐 가공 형상: 모름 📏 공구 직경: 8mm  위 조건에 맞는 YG-1 제품을 추천해 주세요.
[ai] 안녕하세요, YG-1 절삭공구 추천 어시스턴트입니다.  입력하신 조건을 확인했습니다: 밀링 가공, 직경 8mm 근처 제품을 찾고 계시네요. 현재 약 10,325개의 후보 제품이 있습니다.  최적의 제품을 추천해드리기
[user] 8.03mm</t>
  </si>
  <si>
    <t>ses-1775226199713</t>
  </si>
  <si>
    <t>2026-04-03T14:24:43.066Z</t>
  </si>
  <si>
    <t>9,828→561→17→3</t>
  </si>
  <si>
    <t>[{"q": "initial", "a": "Ball (559개)", "ef": [{"f": "toolSubtype", "v": "Ball", "op": "includes"}], "b": 9828, "a_": 561}, {"q": "follow-up", "a": "3날 (17개)", "ef": [{"f": "fluteCount", "v": "3날", "op": "eq"}], "b": 561, "a_": 17}, {"q": "follow-up", "a": "Uncoated — 무코팅 (2개)", "ef": [{"f": "coating", "v": "UNCOATED", "op": "includes"}], "b": 17, "a_": 3}]</t>
  </si>
  <si>
    <t>["toolSubtype=Ball", "fluteCount=3날", "coating=UNCOATED"]</t>
  </si>
  <si>
    <t>[user] 🧭 문의 목적: 신규 제품 추천 🧱 가공 소재: 모름 🛠️ 가공 방식: Milling 📐 가공 형상: 모름 📏 공구 직경: 10mm 🌐 국가: 전체 국가 (ALL)  위 조건에 맞는 YG-1 제품을 추천해 주세요.
[ai] 공구 세부 타입이 중요한가요? Square (2070개), Radius (1502개), Spiral Flute (723개) 등이 있습니다.
[user] Ball (559개)</t>
  </si>
  <si>
    <t>2026-04-03T14:25:19.186Z</t>
  </si>
  <si>
    <t>2026-04-03T14:25:47.151Z</t>
  </si>
  <si>
    <t>ses-1775275532971</t>
  </si>
  <si>
    <t>2026-04-04T04:12:54.740Z</t>
  </si>
  <si>
    <t>7,953→470→7,953→7,953</t>
  </si>
  <si>
    <t>[{"q": "initial", "a": "Ball (468개)", "ef": [{"f": "toolSubtype", "v": "Ball", "op": "includes"}], "b": 7953, "a_": 470}, {"q": "follow-up", "a": "Ball 말고 다른거로 할래 Ball만 아니면 됩니다.", "ef": [{"f": "none", "v": "", "op": "skip"}], "b": 7953, "a_": 7953}, {"q": "follow-up", "a": "상관없으면 되는구나 ......ball 아닌거 물어봤는데.........", "ef": [{"f": "coating", "v": "상관없음", "op": "skip"}], "b": 7953, "a_": 7953}]</t>
  </si>
  <si>
    <t>["none=", "coating=skip"]</t>
  </si>
  <si>
    <t>[user] 🧭 문의 목적: 신규 제품 추천 🧱 가공 소재: 탄소강 🛠️ 가공 방식: Milling 📐 가공 형상: 모름 📏 공구 직경: 10mm 🌐 국가: 전체 국가 (ALL)  위 조건에 맞는 YG-1 제품을 추천해 주세요.
[ai] 공구 세부 타입이 중요한가요? Square (1713개), Radius (1141개), Spiral Flute (692개) 등이 있습니다.
[user] Ball (468개)</t>
  </si>
  <si>
    <t>2026-04-04T04:13:29.988Z</t>
  </si>
  <si>
    <t>ses-1775276748937</t>
  </si>
  <si>
    <t>2026-04-04T04:27:10.392Z</t>
  </si>
  <si>
    <t>48,258→48,258→1,861→1,861</t>
  </si>
  <si>
    <t>[{"q": "follow-up", "a": "직경 추천 부탁해요 ㅎㅎ", "ef": [{"f": "diameterMm", "v": "상관없음", "op": "skip"}], "b": 48258, "a_": 48258}, {"q": "follow-up", "a": "TiN Coating (1805개)", "ef": [{"f": "coating", "v": "TiN Coating", "op": "includes"}], "b": 48258, "a_": 1861}, {"q": "follow-up", "a": "추천으로 골라줘", "ef": [{"f": "toolSubtype", "v": "상관없음", "op": "skip"}], "b": 1861, "a_": 1861}]</t>
  </si>
  <si>
    <t>["coating=TiN Coating"]</t>
  </si>
  <si>
    <t>[user] 🧭 문의 목적: 신규 제품 추천 🧱 가공 소재: 탄소강 🛠️ 가공 방식: Milling 📐 가공 형상: 모름 📏 공구 직경: 모름 🌐 국가: 전체 국가 (ALL)  위 조건에 맞는 YG-1 제품을 추천해 주세요.
[ai] 안녕하세요! 탄소강 소재 밀링 가공용 제품을 찾아드리겠습니다.  현재 조건으로 48,258개의 제품이 검색되었습니다. 보다 정확한 추천을 위해 몇 가지 조건을 여쭤보겠습니다.  먼저 필요하신 공구 직경을 선택해주시거
[user] 직경 추천 부탁해요 ㅎㅎ</t>
  </si>
  <si>
    <t>ses-1775279636132</t>
  </si>
  <si>
    <t>2026-04-04T05:14:12.749Z</t>
  </si>
  <si>
    <t>8,462→1,126→1,126→19</t>
  </si>
  <si>
    <t>[{"q": "initial", "a": "Steam homo (442개)", "ef": [{"f": "coating", "v": "Steam Homo", "op": "includes"}], "b": 8462, "a_": 1126}, {"q": "follow-up", "a": "상관없음", "ef": [{"f": "toolSubtype", "v": "상관없음", "op": "skip"}], "b": 1126, "a_": 1126}, {"q": "follow-up", "a": "4날 (19개)", "ef": [{"f": "fluteCount", "v": "4날", "op": "eq"}], "b": 1126, "a_": 19}]</t>
  </si>
  <si>
    <t>["coating=Steam Homo", "fluteCount=4날"]</t>
  </si>
  <si>
    <t>[user] 🧭 문의 목적: 신규 제품 추천 🧱 가공 소재: 탄소강 🛠️ 가공 방식: Milling 📐 가공 형상: 모름 📏 공구 직경: 8mm 🌐 국가: 전체 국가 (ALL)  위 조건에 맞는 YG-1 제품을 추천해 주세요.
[ai] 안녕하세요! 탄소강 소재에 φ8mm 엔드밀을 찾고 계시는군요.  현재 조건으로 **8,462개**의 제품이 검색되었습니다. 좀 더 정확한 추천을 위해 몇 가지 여쭤볼게요.  먼저 **코팅 종류**에 선호하시는 게 있
[user] Steam homo (442개)</t>
  </si>
  <si>
    <t>ses-1775304246190</t>
  </si>
  <si>
    <t>2026-04-04T12:05:09.405Z</t>
  </si>
  <si>
    <t>7,953→3,373→202→1,112</t>
  </si>
  <si>
    <t>[{"q": "initial", "a": "Y-Coating 외에 거 해주세요", "ef": [{"f": "coating", "v": "TiN", "op": "includes"}], "b": 7953, "a_": 3373}, {"q": "follow-up", "a": "6날 (202개)", "ef": [{"f": "fluteCount", "v": "6날", "op": "eq"}], "b": 3373, "a_": 202}, {"q": "follow-up", "a": "4날로 바꿔줘", "ef": [{"f": "fluteCount", "v": "4날", "op": "eq"}], "b": 1112, "a_": 1112}]</t>
  </si>
  <si>
    <t>["fluteCount=4날", "coating=TiN"]</t>
  </si>
  <si>
    <t>[user] 🧭 문의 목적: 신규 제품 추천 🧱 가공 소재: 탄소강 🛠️ 가공 방식: Milling 📐 가공 형상: 모름 📏 공구 직경: 10mm 🌐 국가: 전체 국가 (ALL)  위 조건에 맞는 YG-1 제품을 추천해 주세요.
[ai] 안녕하세요! 탄소강 밀링 가공용 φ10mm 엔드밀을 찾고 계시는군요.  현재 조건에 맞는 후보가 **7,953개** 있습니다. 좀 더 정확한 추천을 위해 몇 가지만 여쭤볼게요.  **코팅 종류에 선호하시는 게 있으신
[user] Y-Coating 외에 거 해주세요</t>
  </si>
  <si>
    <t>ses-1774367549578</t>
  </si>
  <si>
    <t>2026-03-24T15:53:14.743Z</t>
  </si>
  <si>
    <t>1,852→275→177</t>
  </si>
  <si>
    <t>[{"q": "initial", "a": "알루미늄", "ef": [{"f": "workPieceName", "v": "알루미늄", "op": "includes"}], "b": 1852, "a_": 275}, {"q": "follow-up", "a": "3날 (177개)", "ef": [{"f": "fluteCount", "v": "3날", "op": "eq"}], "b": 275, "a_": 177}]</t>
  </si>
  <si>
    <t>["workPieceName=알루미늄", "fluteCount=3날"]</t>
  </si>
  <si>
    <t>[user] 🎯 문의 목적: 신규 제품 추천 🔩 피삭재 (소재): 알루미늄 ⚙️ 가공 형상: Side_Milling,Side Milling 🔧 가공 방식: 모름 📏 공구 직경: 모름  위 조건으로 적합한 YG-1 제품을 추천해주
[ai] 알루미늄 측면 가공용 제품을 찾으시는군요. 현재 1,852개 후보가 있습니다.  알루미늄 세부 소재를 선택해 주세요: • 알루미늄(연질) • 알루미늄 단조 합금 • 알루미늄 주조 합금 • 알루미늄 합금 • 상관없음
[user] 알루미늄</t>
  </si>
  <si>
    <t>ses-1774368878837</t>
  </si>
  <si>
    <t>2026-03-24T16:14:46.984Z</t>
  </si>
  <si>
    <t>405→405→15</t>
  </si>
  <si>
    <t>[{"q": "initial", "a": "익산 공장 정보줘", "ef": [{"f": "workPieceName", "v": "익산 공장 정보줘", "op": "includes"}], "b": 405, "a_": 405}, {"q": "follow-up", "a": "TiAlN", "ef": [{"f": "coating", "v": "TiAlN", "op": "includes"}], "b": 405, "a_": 15}]</t>
  </si>
  <si>
    <t>["workPieceName=익산 공장 정보줘", "coating=TiAlN"]</t>
  </si>
  <si>
    <t>ses-1774369145079</t>
  </si>
  <si>
    <t>2026-03-24T16:19:18.804Z</t>
  </si>
  <si>
    <t>424→66→34</t>
  </si>
  <si>
    <t>[{"q": "initial", "a": "알루미늄", "ef": [{"f": "workPieceName", "v": "알루미늄", "op": "includes"}], "b": 424, "a_": 66}, {"q": "follow-up", "a": "Square (34개)", "ef": [{"f": "toolSubtype", "v": "Square", "op": "includes"}], "b": 66, "a_": 34}]</t>
  </si>
  <si>
    <t>["workPieceName=알루미늄", "toolSubtype=Square"]</t>
  </si>
  <si>
    <t>2026-03-24T16:20:40.134Z</t>
  </si>
  <si>
    <t>ses-1774372285222</t>
  </si>
  <si>
    <t>2026-03-24T17:11:40.357Z</t>
  </si>
  <si>
    <t>353→353→200</t>
  </si>
  <si>
    <t>[{"q": "follow-up", "a": "상관없음", "ef": [{"f": "workPieceName", "v": "상관없음", "op": "skip"}], "b": 353, "a_": 353}, {"q": "follow-up", "a": "4날 (200개)", "ef": [{"f": "fluteCount", "v": "4날", "op": "eq"}], "b": 353, "a_": 200}]</t>
  </si>
  <si>
    <t>["fluteCount=4날"]</t>
  </si>
  <si>
    <t>ses-1774372726840</t>
  </si>
  <si>
    <t>2026-03-24T17:18:58.899Z</t>
  </si>
  <si>
    <t>ses-1774373438442</t>
  </si>
  <si>
    <t>2026-03-24T17:31:38.793Z</t>
  </si>
  <si>
    <t>1,037→1,037→252</t>
  </si>
  <si>
    <t>[{"q": "follow-up", "a": "상관없음", "ef": [{"f": "workPieceName", "v": "상관없음", "op": "skip"}], "b": 1037, "a_": 1037}, {"q": "follow-up", "a": "Y-Coating (252개)", "ef": [{"f": "coating", "v": "Y-Coating", "op": "includes"}], "b": 1037, "a_": 252}]</t>
  </si>
  <si>
    <t>["coating=Y-Coating"]</t>
  </si>
  <si>
    <t>ses-1774375310765</t>
  </si>
  <si>
    <t>2026-03-24T18:02:34.112Z</t>
  </si>
  <si>
    <t>424→66→32</t>
  </si>
  <si>
    <t>[{"q": "initial", "a": "알루미늄(연질)", "ef": [{"f": "workPieceName", "v": "알루미늄", "op": "includes"}], "b": 424, "a_": 66}, {"q": "follow-up", "a": "Radius (32개)", "ef": [{"f": "toolSubtype", "v": "Radius", "op": "includes"}], "b": 66, "a_": 32}]</t>
  </si>
  <si>
    <t>["workPieceName=알루미늄", "toolSubtype=Radius"]</t>
  </si>
  <si>
    <t>[user] 🎯 문의 목적: 신규 제품 추천 🔩 피삭재 (소재): 알루미늄 ⚙️ 가공 형상: 모름 🔧 가공 방식: Milling 📏 공구 직경: 10mm  위 조건으로 적합한 YG-1 제품을 추천해주세요.
[ai] 알루미늄 소재에 직경 10mm 밀링 공구를 찾으시는군요. 현재 424개 제품이 있습니다.  알루미늄 종류를 선택해주세요. 연질, 단조 합금, 주조 합금 중 어떤 소재인가요?
[user] 알루미늄 주조 합금</t>
  </si>
  <si>
    <t>2026-03-24T18:03:48.128Z</t>
  </si>
  <si>
    <t>ses-1774375437462</t>
  </si>
  <si>
    <t>2026-03-24T18:04:31.476Z</t>
  </si>
  <si>
    <t>ses-1774375895398</t>
  </si>
  <si>
    <t>2026-03-24T18:11:50.838Z</t>
  </si>
  <si>
    <t>[user] 🎯 문의 목적: 신규 제품 추천 🔩 피삭재 (소재): 티타늄 ⚙️ 가공 형상: Slotting 🔧 가공 방식: Milling 📏 공구 직경: 10mm  위 조건으로 적합한 YG-1 제품을 추천해주세요.
[ai] 티타늄 소재를 10mm 엔드밀로 슬로팅 가공하시는군요. 현재 353개 제품이 매칭됩니다.  티타늄 중에서도 구체적으로 어떤 소재인가요? 티타늄 합금(Ti-6Al-4V 등)인지, 순티타늄인지 알려주시면 더 정확히 추천
[user] 상관없음</t>
  </si>
  <si>
    <t>ses-1774380509642</t>
  </si>
  <si>
    <t>2026-03-24T19:28:41.066Z</t>
  </si>
  <si>
    <t>ses-1774381302181</t>
  </si>
  <si>
    <t>2026-03-24T19:43:12.078Z</t>
  </si>
  <si>
    <t>[{"q": "initial", "a": "알루미늄", "ef": [{"f": "workPieceName", "v": "알루미늄", "op": "includes"}], "b": 1852, "a_": 275}, {"q": "follow-up", "a": "3날", "ef": [{"f": "fluteCount", "v": "3날", "op": "eq"}], "b": 275, "a_": 177}]</t>
  </si>
  <si>
    <t>[user] 🎯 문의 목적: 신규 제품 추천 🔩 피삭재 (소재): 알루미늄 ⚙️ 가공 형상: 모름 🔧 가공 방식: Milling 📏 공구 직경: 모름  위 조건으로 적합한 YG-1 제품을 추천해주세요.
[ai] 알루미늄 밀링 가공용 엔드밀을 찾고 계시군요. 현재 1,852개 제품이 매칭됩니다.  알루미늄 중에서도 어떤 종류인가요? (연질/단조합금/주조합금 등)
[user] slot 가공할 때는 ball 엔드밀이 좋은가요? 어떤 날 형상이 제일 좋나요?</t>
  </si>
  <si>
    <t>2026-03-24T19:47:54.147Z</t>
  </si>
  <si>
    <t>ses-1774406429459</t>
  </si>
  <si>
    <t>2026-03-25T02:40:39.101Z</t>
  </si>
  <si>
    <t>2,465→2,465→799</t>
  </si>
  <si>
    <t>[{"q": "follow-up", "a": "상관없음", "ef": [{"f": "workPieceName", "v": "상관없음", "op": "skip"}], "b": 2465, "a_": 2465}, {"q": "follow-up", "a": "4날 (799개)", "ef": [{"f": "fluteCount", "v": "4날", "op": "eq"}], "b": 2465, "a_": 799}]</t>
  </si>
  <si>
    <t>ses-1774408020391</t>
  </si>
  <si>
    <t>2026-03-25T03:07:18.325Z</t>
  </si>
  <si>
    <t>220→220→132</t>
  </si>
  <si>
    <t>[{"q": "follow-up", "a": "상관없음", "ef": [{"f": "workPieceName", "v": "상관없음", "op": "skip"}], "b": 220, "a_": 220}, {"q": "follow-up", "a": "4날 (132개)", "ef": [{"f": "fluteCount", "v": "4날", "op": "eq"}], "b": 220, "a_": 132}]</t>
  </si>
  <si>
    <t>[user] 🎯 문의 목적: 신규 제품 추천 🔩 피삭재 (소재): 티타늄 ⚙️ 가공 형상: Helical Interpolation 🔧 가공 방식: Milling 📏 공구 직경: 10mm  위 조건으로 적합한 YG-1 제품을 추천
[ai] 티타늄 소재에 φ10mm 헬리컬 가공용 밀링커터를 찾으시는군요. 현재 220개 제품이 매칭됩니다.  티타늄 중에서도 어떤 소재인가요? 순수 티타늄인지, Ti-6Al-4V 같은 합금인지 알려주시면 더 정확한 추천이 가
[user] 상관없음</t>
  </si>
  <si>
    <t>ses-1774408904294</t>
  </si>
  <si>
    <t>2026-03-25T03:21:59.263Z</t>
  </si>
  <si>
    <t>[user] 🎯 문의 목적: 신규 제품 추천 🔩 피삭재 (소재): 티타늄 ⚙️ 가공 형상: Slotting 🔧 가공 방식: Milling 📏 공구 직경: 10mm  위 조건으로 적합한 YG-1 제품을 추천해주세요.
[ai] 티타늄 소재에 φ10mm 슬로팅 가공이시군요. 현재 353개 제품이 매칭됩니다.  티타늄 중에서도 어떤 재질인가요? 인코넬, 티타늄 합금 같은 세부 소재를 알려주시면 더 정확하게 추천드릴게요.
[user] 상관없음</t>
  </si>
  <si>
    <t>ses-1774410175667</t>
  </si>
  <si>
    <t>2026-03-25T03:43:51.269Z</t>
  </si>
  <si>
    <t>424→56→32</t>
  </si>
  <si>
    <t>[{"q": "initial", "a": "비철금속", "ef": [{"f": "workPieceName", "v": "비철금속", "op": "includes"}], "b": 424, "a_": 56}, {"q": "follow-up", "a": "Radius", "ef": [{"f": "toolSubtype", "v": "Radius", "op": "includes"}], "b": 56, "a_": 32}]</t>
  </si>
  <si>
    <t>["workPieceName=비철금속", "toolSubtype=Radius"]</t>
  </si>
  <si>
    <t>[user] 🎯 문의 목적: 신규 제품 추천 🔩 피삭재 (소재): 알루미늄 ⚙️ 가공 형상: 모름 🔧 가공 방식: Milling 📏 공구 직경: 10mm  위 조건으로 적합한 YG-1 제품을 추천해주세요.
[ai] 알루미늄 소재를 φ10mm 밀링 가공하시는군요. 현재 424개 제품이 매칭됩니다.  작업하실 알루미늄이 순수 알루미늄인가요, 아니면 7075 같은 합금인가요? (소재 특성에 따라 날 형상과 코팅이 달라집니다)
[user] 비철금속</t>
  </si>
  <si>
    <t>2026-03-25T03:44:31.934Z</t>
  </si>
  <si>
    <t>ses-1774410278572</t>
  </si>
  <si>
    <t>2026-03-25T03:44:47.222Z</t>
  </si>
  <si>
    <t>2026-03-25T03:47:43.286Z</t>
  </si>
  <si>
    <t>ses-1774410498298</t>
  </si>
  <si>
    <t>2026-03-25T03:49:25.651Z</t>
  </si>
  <si>
    <t>2026-03-25T03:49:50.133Z</t>
  </si>
  <si>
    <t>2026-03-25T03:50:31.561Z</t>
  </si>
  <si>
    <t>2026-03-25T03:56:24.423Z</t>
  </si>
  <si>
    <t>ses-1774411341273</t>
  </si>
  <si>
    <t>2026-03-25T04:02:38.933Z</t>
  </si>
  <si>
    <t>424→10→4</t>
  </si>
  <si>
    <t>[{"q": "initial", "a": "알루미늄 합금", "ef": [{"f": "workPieceName", "v": "알루미늄 합금", "op": "includes"}], "b": 424, "a_": 10}, {"q": "follow-up", "a": "이중 전체길이가 100mm인것만", "ef": [{"f": "overallLengthMm", "v": "100mm", "op": "eq"}], "b": 10, "a_": 4}]</t>
  </si>
  <si>
    <t>["workPieceName=알루미늄 합금", "overallLengthMm=100mm"]</t>
  </si>
  <si>
    <t>[user] 🎯 문의 목적: 신규 제품 추천 🔩 피삭재 (소재): 알루미늄 ⚙️ 가공 형상: 모름 🔧 가공 방식: Milling 📏 공구 직경: 10mm  위 조건으로 적합한 YG-1 제품을 추천해주세요.
[ai] 알루미늄 소재에 φ10mm 밀링 공구가 필요하시군요. 현재 424개 제품이 매칭됩니다.  작업하실 알루미늄이 연질(순알루미늄)인가요, 아니면 6061 같은 합금인가요?
[user] 구리</t>
  </si>
  <si>
    <t>2026-03-25T04:04:49.834Z</t>
  </si>
  <si>
    <t>2026-03-25T04:06:22.054Z</t>
  </si>
  <si>
    <t>ses-1774411587359</t>
  </si>
  <si>
    <t>2026-03-25T04:06:34.541Z</t>
  </si>
  <si>
    <t>2026-03-25T04:09:06.789Z</t>
  </si>
  <si>
    <t>ses-1774415724593</t>
  </si>
  <si>
    <t>2026-03-25T05:15:58.513Z</t>
  </si>
  <si>
    <t>406→10→5</t>
  </si>
  <si>
    <t>[{"q": "initial", "a": "알루미늄 합금", "ef": [{"f": "workPieceName", "v": "알루미늄 합금", "op": "includes"}], "b": 406, "a_": 10}, {"q": "follow-up", "a": "날수로 좁히기 (2날/4날)", "ef": [{"f": "fluteCount", "v": "2날", "op": "eq"}], "b": 10, "a_": 5}]</t>
  </si>
  <si>
    <t>2026-03-25T05:23:57.193Z</t>
  </si>
  <si>
    <t>2026-03-25T05:30:23.509Z</t>
  </si>
  <si>
    <t>ses-1774441379935</t>
  </si>
  <si>
    <t>2026-03-25T12:23:13.019Z</t>
  </si>
  <si>
    <t>[user] 🎯 문의 목적: 신규 제품 추천 🔩 피삭재 (소재): 티타늄 ⚙️ 가공 형상: Slotting 🔧 가공 방식: Milling 📏 공구 직경: 10mm  위 조건으로 적합한 YG-1 제품을 추천해주세요.
[ai] 티타늄 소재를 φ10mm로 슬로팅 가공하시는군요. 현재 353개 제품이 매칭됩니다.  티타늄 중에서도 정확히 어떤 소재인가요?
[user] 상관없음</t>
  </si>
  <si>
    <t>ses-1774449045560</t>
  </si>
  <si>
    <t>2026-03-25T14:31:42.422Z</t>
  </si>
  <si>
    <t>406→28→28</t>
  </si>
  <si>
    <t>[{"q": "initial", "a": "Roughing (28개)", "ef": [{"f": "toolSubtype", "v": "Roughing", "op": "includes"}], "b": 406, "a_": 28}, {"q": "follow-up", "a": "8mm", "ef": [{"f": "diameterMm", "v": "8mm", "op": "eq"}], "b": 28, "a_": 28}]</t>
  </si>
  <si>
    <t>ses-1774470299372</t>
  </si>
  <si>
    <t>2026-03-25T20:25:10.799Z</t>
  </si>
  <si>
    <t>424→24→13</t>
  </si>
  <si>
    <t>[{"q": "initial", "a": "Roughing (24개)", "ef": [{"f": "toolSubtype", "v": "Roughing", "op": "includes"}], "b": 424, "a_": 24}, {"q": "follow-up", "a": "3날 (13개)", "ef": [{"f": "fluteCount", "v": "3날", "op": "eq"}], "b": 24, "a_": 13}]</t>
  </si>
  <si>
    <t>["toolSubtype=Roughing", "fluteCount=3날"]</t>
  </si>
  <si>
    <t>ses-1774476967220</t>
  </si>
  <si>
    <t>2026-03-25T22:16:31.157Z</t>
  </si>
  <si>
    <t>406→406→406</t>
  </si>
  <si>
    <t>[{"q": "follow-up", "a": "이게 뭐야 추천해주고 그거로 진행해줘요", "ef": [{"f": "toolSubtype", "v": "상관없음", "op": "skip"}], "b": 406, "a_": 406}, {"q": "follow-up", "a": "추천으로 골라줘", "ef": [{"f": "fluteCount", "v": "상관없음", "op": "skip"}], "b": 0, "a_": 406}]</t>
  </si>
  <si>
    <t>ses-1774477494346</t>
  </si>
  <si>
    <t>2026-03-25T22:25:05.027Z</t>
  </si>
  <si>
    <t>406→60→26</t>
  </si>
  <si>
    <t>[{"q": "initial", "a": "알루미늄 합금", "ef": [{"f": "workPieceName", "v": "알루미늄", "op": "includes"}], "b": 406, "a_": 60}, {"q": "follow-up", "a": "Radius (26개)", "ef": [{"f": "toolSubtype", "v": "Radius", "op": "includes"}], "b": 60, "a_": 26}]</t>
  </si>
  <si>
    <t>[user] 🎯 문의 목적: 신규 제품 추천 🔩 피삭재 (소재): 알루미늄 ⚙️ 가공 형상: Side_Milling 🔧 가공 방식: Milling 📏 공구 직경: 8mm  위 조건으로 적합한 YG-1 제품을 추천해주세요.
[ai] 선택하신 소재는 ISO N (비철)군입니다. 세부 피삭재를 선택해주세요.
[user] 알루미늄 합금</t>
  </si>
  <si>
    <t>2026-03-25T22:27:18.707Z</t>
  </si>
  <si>
    <t>2026-03-25T22:27:31.939Z</t>
  </si>
  <si>
    <t>ses-1774479007727</t>
  </si>
  <si>
    <t>2026-03-25T22:52:15.465Z</t>
  </si>
  <si>
    <t>406→335→51</t>
  </si>
  <si>
    <t>[{"q": "initial", "a": "6.5mm", "ef": [{"f": "diameterMm", "v": "6.5mm", "op": "eq"}], "b": 406, "a_": 335}, {"q": "follow-up", "a": "2날 (51개)", "ef": [{"f": "fluteCount", "v": "2날", "op": "eq"}], "b": 335, "a_": 51}]</t>
  </si>
  <si>
    <t>["diameterMm=6.5mm", "fluteCount=2날"]</t>
  </si>
  <si>
    <t>[user] 🎯 문의 목적: 신규 제품 추천 🔩 피삭재 (소재): 알루미늄 ⚙️ 가공 형상: Side_Milling 🔧 가공 방식: Milling 📏 공구 직경: 8mm  위 조건으로 적합한 YG-1 제품을 추천해주세요.
[ai] 직경 8mm 근처에 6, 6.35, 6.5, 7, 7.5mm가 있습니다. 정확한 직경을 선택해주세요.
[user] 6.5mm</t>
  </si>
  <si>
    <t>ses-1774489048286</t>
  </si>
  <si>
    <t>2026-03-26T01:37:38.603Z</t>
  </si>
  <si>
    <t>4,656→562→168</t>
  </si>
  <si>
    <t>[{"q": "initial", "a": "8mm", "ef": [{"f": "diameterMm", "v": "8mm", "op": "eq"}], "b": 4656, "a_": 562}, {"q": "follow-up", "a": "Square (167개)", "ef": [{"f": "toolSubtype", "v": "Square", "op": "includes"}], "b": 562, "a_": 168}]</t>
  </si>
  <si>
    <t>["diameterMm=8mm", "toolSubtype=Square"]</t>
  </si>
  <si>
    <t>2026-03-26T01:38:23.678Z</t>
  </si>
  <si>
    <t>ses-1774489334801</t>
  </si>
  <si>
    <t>2026-03-26T01:42:34.205Z</t>
  </si>
  <si>
    <t>9,828→723→45</t>
  </si>
  <si>
    <t>[{"q": "initial", "a": "Spiral Flute (723개)", "ef": [{"f": "toolSubtype", "v": "Spiral Flute", "op": "includes"}], "b": 9828, "a_": 723}, {"q": "follow-up", "a": "9.525mm", "ef": [{"f": "diameterMm", "v": "9.525mm", "op": "eq"}], "b": 723, "a_": 45}]</t>
  </si>
  <si>
    <t>["toolSubtype=Spiral Flute", "diameterMm=9.525mm"]</t>
  </si>
  <si>
    <t>[user] 🎯 문의 목적: 신규 제품 추천 🔩 피삭재 (소재): 모름 ⚙️ 가공 형상: 모름 🔧 가공 방식: 모름 📏 공구 직경: 10mm  위 조건으로 적합한 YG-1 제품을 추천해주세요.
[ai] 직경 10mm 제품으로 총 9,828개가 있네요.  어떤 형상으로 가공하실 건가요? Square(평날, 2,072개), Radius(라운드, 1,502개), Spiral Flute(나선날, 723개), Ball(볼,
[user] Spiral Flute (723개)</t>
  </si>
  <si>
    <t>ses-1774567247746</t>
  </si>
  <si>
    <t>2026-03-26T23:21:10.482Z</t>
  </si>
  <si>
    <t>406→406→122</t>
  </si>
  <si>
    <t>[{"q": "follow-up", "a": "상관없음", "ef": [{"f": "workPieceName", "v": "상관없음", "op": "skip"}], "b": 406, "a_": 406}, {"q": "follow-up", "a": "정확하게 8mm 없어 ?", "ef": [{"f": "diameterMm", "v": "8mm", "op": "eq"}], "b": 406, "a_": 122}]</t>
  </si>
  <si>
    <t>["diameterMm=8mm"]</t>
  </si>
  <si>
    <t>ses-1774568275698</t>
  </si>
  <si>
    <t>2026-03-26T23:40:26.768Z</t>
  </si>
  <si>
    <t>308→308→78</t>
  </si>
  <si>
    <t>[{"q": "follow-up", "a": "상관없음", "ef": [{"f": "workPieceName", "v": "상관없음", "op": "skip"}], "b": 308, "a_": 308}, {"q": "follow-up", "a": "10mm로 해줘요", "ef": [{"f": "diameterMm", "v": "10mm", "op": "eq"}], "b": 308, "a_": 78}]</t>
  </si>
  <si>
    <t>["diameterMm=10mm"]</t>
  </si>
  <si>
    <t>ses-1774568960528</t>
  </si>
  <si>
    <t>2026-03-26T23:50:13.068Z</t>
  </si>
  <si>
    <t>1,035→125→406</t>
  </si>
  <si>
    <t>[{"q": "initial", "a": "3날 (123개)", "ef": [{"f": "fluteCount", "v": "3날", "op": "eq"}], "b": 1035, "a_": 125}, {"q": "follow-up", "a": "날수가 뭔지 몰라??????? 3날로 선택했던거 2날로", "ef": [{"f": "fluteCount", "v": "2날", "op": "eq"}], "b": 1035, "a_": 406}]</t>
  </si>
  <si>
    <t>["fluteCount=2날"]</t>
  </si>
  <si>
    <t>[user] 🎯 문의 목적: 신규 제품 추천 🔩 피삭재 (소재): 일반강 ⚙️ 가공 형상: Side_Milling 🔧 가공 방식: Milling 📏 공구 직경: 8mm  위 조건으로 적합한 YG-1 제품을 추천해주세요.
[ai] 현재 1035개 후보가 있습니다. 날 수(flute) 선호가 있으신가요?
[user] 3날 (123개)</t>
  </si>
  <si>
    <t>ses-1774570178865</t>
  </si>
  <si>
    <t>2026-03-27T00:09:46.139Z</t>
  </si>
  <si>
    <t>424→9→3</t>
  </si>
  <si>
    <t>[{"q": "initial", "a": "8날 (9개)", "ef": [{"f": "fluteCount", "v": "8날", "op": "eq"}], "b": 424, "a_": 9}, {"q": "follow-up", "a": "8mm (3개)", "ef": [{"f": "diameterMm", "v": "8mm", "op": "eq"}], "b": 9, "a_": 3}]</t>
  </si>
  <si>
    <t>["fluteCount=8날", "diameterMm=8mm"]</t>
  </si>
  <si>
    <t>[user] 🎯 문의 목적: 신규 제품 추천 🔩 피삭재 (소재): 알루미늄 ⚙️ 가공 형상: Side_Milling 🔧 가공 방식: Milling 📏 공구 직경: 10mm  위 조건으로 적합한 YG-1 제품을 추천해주세요.
[ai] 알루미늄 사이드밀링용 φ10mm 엔드밀이시군요. 현재 424개 제품이 매칭됩니다.  날 수 선호가 있으신가요? 3날(211개), 4날(147개), 2날(38개) 중에서 선택하시거나, 상관없으시면 말씀해주세요.
[user] 8날 (9개)</t>
  </si>
  <si>
    <t>2026-03-27T00:11:38.780Z</t>
  </si>
  <si>
    <t>ses-1774570329390</t>
  </si>
  <si>
    <t>2026-03-27T00:12:49.927Z</t>
  </si>
  <si>
    <t>["diameterMm=8mm", "fluteCount=8날"]</t>
  </si>
  <si>
    <t>2026-03-27T00:14:03.967Z</t>
  </si>
  <si>
    <t>2026-03-27T00:14:24.131Z</t>
  </si>
  <si>
    <t>2026-03-27T00:14:40.391Z</t>
  </si>
  <si>
    <t>2026-03-27T00:16:37.338Z</t>
  </si>
  <si>
    <t>2026-03-27T00:18:53.882Z</t>
  </si>
  <si>
    <t>2026-03-27T00:19:17.963Z</t>
  </si>
  <si>
    <t>ses-1774570776427</t>
  </si>
  <si>
    <t>2026-03-27T00:20:12.180Z</t>
  </si>
  <si>
    <t>2026-03-27T00:22:05.870Z</t>
  </si>
  <si>
    <t>ses-1774574075416</t>
  </si>
  <si>
    <t>2026-03-27T01:14:44.204Z</t>
  </si>
  <si>
    <t>446→72→72</t>
  </si>
  <si>
    <t>[{"q": "initial", "a": "알루미늄 합금 (10개)", "ef": [{"f": "workPieceName", "v": "알루미늄", "op": "includes"}], "b": 446, "a_": 72}, {"q": "follow-up", "a": "상관없음", "ef": [{"f": "seriesName", "v": "상관없음", "op": "skip"}], "b": 72, "a_": 72}]</t>
  </si>
  <si>
    <t>["workPieceName=알루미늄"]</t>
  </si>
  <si>
    <t>[user] 🎯 문의 목적: 신규 제품 추천 🔩 피삭재 (소재): 알루미늄 ⚙️ 가공 형상: Side_Milling 🔧 가공 방식: Milling 📏 공구 직경: 4mm  위 조건으로 적합한 YG-1 제품을 추천해주세요.
[ai] 안녕하세요! YG-1 절삭공구 추천 서비스입니다.  입력하신 조건을 확인했습니다. - 소재: 알루미늄 - 가공 형상: 측면 가공(Side Milling) - 가공 방식: 밀링 - 직경: 4mm  현재 이 조건에 매칭
[user] 알루미늄 합금 (10개)</t>
  </si>
  <si>
    <t>ses-1774578293355</t>
  </si>
  <si>
    <t>2026-03-27T02:25:13.243Z</t>
  </si>
  <si>
    <t>424→424→147</t>
  </si>
  <si>
    <t>[{"q": "follow-up", "a": "추천으로 골라줘", "ef": [{"f": "workPieceName", "v": "상관없음", "op": "skip"}], "b": 424, "a_": 424}, {"q": "follow-up", "a": "4날 (147개)", "ef": [{"f": "fluteCount", "v": "4날", "op": "eq"}], "b": 424, "a_": 147}]</t>
  </si>
  <si>
    <t>[user] 🎯 문의 목적: 신규 제품 추천 🔩 피삭재 (소재): 알루미늄 ⚙️ 가공 형상: Side_Milling 🔧 가공 방식: Milling 📏 공구 직경: 10mm  위 조건으로 적합한 YG-1 제품을 추천해주세요.
[ai] 선택하신 소재는 ISO N (비철)군입니다. 세부 피삭재를 선택해주세요.
[user] ✨ AI 상세 분석</t>
  </si>
  <si>
    <t>ses-1774578794954</t>
  </si>
  <si>
    <t>2026-03-27T02:36:33.307Z</t>
  </si>
  <si>
    <t>424→24→24</t>
  </si>
  <si>
    <t>[{"q": "initial", "a": "Roughing (24개)", "ef": [{"f": "toolSubtype", "v": "Roughing", "op": "includes"}], "b": 424, "a_": 24}, {"q": "follow-up", "a": "즉시 구매 가능한 것만", "ef": [{"f": "inStock", "v": "true", "op": "includes"}], "b": 24, "a_": 24}]</t>
  </si>
  <si>
    <t>ses-1774580230276</t>
  </si>
  <si>
    <t>2026-03-27T02:58:47.254Z</t>
  </si>
  <si>
    <t>424→24→11</t>
  </si>
  <si>
    <t>[{"q": "initial", "a": "Roughing (24개)", "ef": [{"f": "toolSubtype", "v": "Roughing", "op": "includes"}], "b": 424, "a_": 24}, {"q": "follow-up", "a": "4날 (11개)", "ef": [{"f": "fluteCount", "v": "4날", "op": "eq"}], "b": 24, "a_": 11}]</t>
  </si>
  <si>
    <t>["toolSubtype=Roughing", "fluteCount=4날"]</t>
  </si>
  <si>
    <t>ses-1774580411775</t>
  </si>
  <si>
    <t>2026-03-27T03:00:28.601Z</t>
  </si>
  <si>
    <t>[{"q": "initial", "a": "알루미늄 (275개)", "ef": [{"f": "workPieceName", "v": "알루미늄", "op": "includes"}], "b": 1852, "a_": 275}, {"q": "follow-up", "a": "3날 (177개)", "ef": [{"f": "fluteCount", "v": "3날", "op": "eq"}], "b": 275, "a_": 177}]</t>
  </si>
  <si>
    <t>ses-1774580624810</t>
  </si>
  <si>
    <t>2026-03-27T03:04:07.939Z</t>
  </si>
  <si>
    <t>406→60→50</t>
  </si>
  <si>
    <t>[{"q": "initial", "a": "알루미늄 (60개)", "ef": [{"f": "workPieceName", "v": "알루미늄", "op": "includes"}], "b": 406, "a_": 60}, {"q": "follow-up", "a": "3날 (50개)", "ef": [{"f": "fluteCount", "v": "3날", "op": "eq"}], "b": 60, "a_": 50}]</t>
  </si>
  <si>
    <t>[user] 🎯 문의 목적: 신규 제품 추천 🔩 피삭재 (소재): 알루미늄 ⚙️ 가공 형상: 모름 🔧 가공 방식: Milling 📏 공구 직경: 8mm  위 조건으로 적합한 YG-1 제품을 추천해주세요.
[ai] 안녕하세요! 알루미늄 소재에 적합한 φ8mm 밀링 공구를 찾고 계시는군요.  현재 조건으로 **406개의 제품**이 매칭됩니다. 더 정확한 추천을 위해 몇 가지 여쭤보겠습니다.  먼저, 가공하실 소재를 좀 더 구체적
[user] 알루미늄 (60개)</t>
  </si>
  <si>
    <t>ses-1774584242651</t>
  </si>
  <si>
    <t>2026-03-27T04:04:26.121Z</t>
  </si>
  <si>
    <t>[{"q": "initial", "a": "알루미늄 (66개)", "ef": [{"f": "workPieceName", "v": "알루미늄", "op": "includes"}], "b": 424, "a_": 66}, {"q": "follow-up", "a": "Square (34개)", "ef": [{"f": "toolSubtype", "v": "Square", "op": "includes"}], "b": 66, "a_": 34}]</t>
  </si>
  <si>
    <t>ses-1774585040365</t>
  </si>
  <si>
    <t>2026-03-27T04:18:18.646Z</t>
  </si>
  <si>
    <t>406→28→20</t>
  </si>
  <si>
    <t>[{"q": "initial", "a": "Roughing (28개)", "ef": [{"f": "toolSubtype", "v": "Roughing", "op": "includes"}], "b": 406, "a_": 28}, {"q": "follow-up", "a": "3날", "ef": [{"f": "fluteCount", "v": "3날", "op": "eq"}], "b": 28, "a_": 20}]</t>
  </si>
  <si>
    <t>[user] 🎯 문의 목적: 신규 제품 추천 🔩 피삭재 (소재): 알루미늄 ⚙️ 가공 형상: Side_Milling 🔧 가공 방식: Milling 📏 공구 직경: 8mm  위 조건으로 적합한 YG-1 제품을 추천해주세요.
[ai] 공구 세부 타입이 중요한가요? Square (251개), Radius (75개), Roughing (28개) 등이 있습니다.
[user] Roughing (28개)</t>
  </si>
  <si>
    <t>2026-03-27T04:19:44.211Z</t>
  </si>
  <si>
    <t>ses-1774934750764</t>
  </si>
  <si>
    <t>2026-03-31T05:25:59.661Z</t>
  </si>
  <si>
    <t>249→37→6</t>
  </si>
  <si>
    <t>[{"q": "initial", "a": "Radius (37개)", "ef": [{"f": "toolSubtype", "v": "Radius", "op": "includes"}], "b": 249, "a_": 37}, {"q": "follow-up", "a": "6날 (6개)", "ef": [{"f": "fluteCount", "v": "6날", "op": "eq"}], "b": 37, "a_": 6}]</t>
  </si>
  <si>
    <t>["toolSubtype=Radius", "fluteCount=6날"]</t>
  </si>
  <si>
    <t>[user] 🧭 문의 목적: 신규 제품 추천 🧱 가공 소재: 탄소강 🛠️ 가공 방식: Milling 📐 가공 형상: Profiling 📏 공구 직경: 6mm  위 조건에 맞는 YG-1 제품을 추천해 주세요.
[ai] 공구 세부 타입이 중요한가요? Ball (173개), Square (38개), Radius (37개) 등이 있습니다.
[user] Radius (37개)</t>
  </si>
  <si>
    <t>2026-03-31T05:26:11.734Z</t>
  </si>
  <si>
    <t>2026-03-31T05:34:25.820Z</t>
  </si>
  <si>
    <t>ses-1775121109855</t>
  </si>
  <si>
    <t>2026-04-02T09:12:28.172Z</t>
  </si>
  <si>
    <t>8,462→8,462→510</t>
  </si>
  <si>
    <t>[{"q": "follow-up", "a": "상관없어 그 근처 다해줘", "ef": [{"f": "diameterRefine", "v": "상관없음", "op": "skip"}], "b": 8462, "a_": 8462}, {"q": "follow-up", "a": "Ball (510개)", "ef": [{"f": "toolSubtype", "v": "Ball", "op": "includes"}], "b": 8462, "a_": 510}]</t>
  </si>
  <si>
    <t>["toolSubtype=Ball"]</t>
  </si>
  <si>
    <t>[user] 🧭 문의 목적: 신규 제품 추천 🧱 가공 소재: 탄소강 🛠️ 가공 방식: Milling 📐 가공 형상: 모름 📏 공구 직경: 8mm  위 조건에 맞는 YG-1 제품을 추천해 주세요.
[ai] 안녕하세요! 탄소강 소재를 밀링 가공하실 직경 8mm 엔드밀을 찾고 계시는군요.  현재 조건으로 **8,462개의 제품**이 매칭되고 있습니다. 최적의 제품을 추천드리기 위해 몇 가지 조건을 좁혀가겠습니다.  먼저 
[user] 상관없어 그 근처 다해줘</t>
  </si>
  <si>
    <t>ses-1775635027985</t>
  </si>
  <si>
    <t>2026-04-08T07:57:31.115Z</t>
  </si>
  <si>
    <t>28→28→308</t>
  </si>
  <si>
    <t>[{"q": "initial", "a": "1날 (26개)", "ef": [{"f": "fluteCount", "v": "1날", "op": "eq"}], "b": 28, "a_": 28}, {"q": "follow-up", "a": "3날로 바꿀래", "ef": [{"f": "fluteCount", "v": "3날", "op": "eq"}], "b": 308, "a_": 308}]</t>
  </si>
  <si>
    <t>["workPieceName=알루미늄", "diameterMm=6", "fluteCount=3날"]</t>
  </si>
  <si>
    <t>[user] 🧭 문의 목적: 신규 제품 추천 🧱 가공 소재: 모름 🛠️ 가공 방식: 모름 📐 가공 형상: 모름 📏 공구 직경: 모름 🌐 국가: 전체 국가 (ALL)  위 조건에 맞는 YG-1 제품을 추천해 주세요.
[ai] 제품을 추천해 드리기 위해 몇 가지 정보가 필요합니다:  1. **피삭재(소재)** — 예: 탄소강, 합금강, 스테인리스강, 주철, 알루미늄, 티타늄, 인코넬 2. **공구 직경** — 예: 6mm, 10mm, 12
[user] 알루미늄 6mm</t>
  </si>
  <si>
    <t>ses-1774408996627</t>
  </si>
  <si>
    <t>2026-03-25T03:23:45.813Z</t>
  </si>
  <si>
    <t>[{"q": "follow-up", "a": "상관없음", "ef": [{"f": "workPieceName", "v": "상관없음", "op": "skip"}], "b": 353, "a_": 353}, {"q": "follow-up", "a": "4날 (200개)", "ef": [{"f": "fluteCount", "v": "4날", "op": "eq"}], "b": 353, "a_": 200}, {"q": "follow-up", "a": "Y-Coating (71개)", "ef": [{"f": "coating", "v": "Y-Coating", "op": "includes"}], "b": 200, "a_": 71}, {"q": "follow-up", "a": "Ball 타입 빼고 corner radius 타입 으로 소개시켜줘", "ef": [{"f": "toolSubtype", "v": "Radius", "op": "includes"}], "b": 71, "a_": 44}]</t>
  </si>
  <si>
    <t>filter_extraction_miss</t>
  </si>
  <si>
    <t>2026-03-24T16:23:14.402Z</t>
  </si>
  <si>
    <t>wrong_recommendation</t>
  </si>
  <si>
    <t>2026-03-24T16:25:46.154Z</t>
  </si>
  <si>
    <t>2026-03-24T17:13:33.833Z</t>
  </si>
  <si>
    <t>2026-03-24T17:23:20.904Z</t>
  </si>
  <si>
    <t>2026-03-24T17:24:43.543Z</t>
  </si>
  <si>
    <t>ses-1774375933063</t>
  </si>
  <si>
    <t>2026-03-24T18:15:16.131Z</t>
  </si>
  <si>
    <t>2026-03-25T00:16:47.019Z</t>
  </si>
  <si>
    <t>2026-03-25T00:18:15.906Z</t>
  </si>
  <si>
    <t>2026-03-25T00:18:51.963Z</t>
  </si>
  <si>
    <t>2026-03-25T02:41:23.407Z</t>
  </si>
  <si>
    <t>ses-1774406857710</t>
  </si>
  <si>
    <t>2026-03-25T02:49:41.813Z</t>
  </si>
  <si>
    <t>424→424→154→154</t>
  </si>
  <si>
    <t>[{"q": "follow-up", "a": "Corner Radius 제품 추천해줘", "ef": [{"f": "workPieceName", "v": "상관없음", "op": "skip"}], "b": 424, "a_": 424}, {"q": "follow-up", "a": "Bright Finish (154개)", "ef": [{"f": "coating", "v": "Bright Finish", "op": "includes"}], "b": 424, "a_": 154}, {"q": "follow-up", "a": "10mm", "ef": [{"f": "diameterMm", "v": "10mm", "op": "eq"}], "b": 154, "a_": 154}]</t>
  </si>
  <si>
    <t>["coating=Bright Finish", "diameterMm=10mm"]</t>
  </si>
  <si>
    <t>[user] 🎯 문의 목적: 신규 제품 추천 🔩 피삭재 (소재): 알루미늄 ⚙️ 가공 형상: 모름 🔧 가공 방식: Milling 📏 공구 직경: 10mm  위 조건으로 적합한 YG-1 제품을 추천해주세요.
[ai] 알루미늄 소재 10mm 엔드밀 밀링 가공이시군요. 현재 424개 제품이 매칭됩니다.  알루미늄 중에서도 **연질(6061 등) / 단조 합금(7075 등) / 주조 합금(ADC12 등)** 중 어떤 종류를 가공하시나
[user] 구리요</t>
  </si>
  <si>
    <t>ses-1774408938947</t>
  </si>
  <si>
    <t>2026-03-25T03:22:39.821Z</t>
  </si>
  <si>
    <t>2026-03-25T03:46:51.932Z</t>
  </si>
  <si>
    <t>ses-1774441427536</t>
  </si>
  <si>
    <t>2026-03-25T12:24:10.003Z</t>
  </si>
  <si>
    <t>2026-03-25T12:32:22.451Z</t>
  </si>
  <si>
    <t>2026-03-26T23:22:59.210Z</t>
  </si>
  <si>
    <t>ses-1774583833746</t>
  </si>
  <si>
    <t>2026-03-27T03:57:22.883Z</t>
  </si>
  <si>
    <t>26→43→71→26</t>
  </si>
  <si>
    <t>[{"q": "initial", "a": "3날 말고 2날로 추천", "ef": [{"f": "fluteCount", "v": "2날", "op": "eq"}], "b": 26, "a_": 43}, {"q": "follow-up", "a": "2날 대신 3날로", "ef": [{"f": "fluteCount", "v": "3날", "op": "eq"}], "b": 6, "a_": 71}, {"q": "follow-up", "a": "비철금속 (26개)", "ef": [{"f": "workPieceName", "v": "비철금속", "op": "includes"}], "b": 71, "a_": 26}]</t>
  </si>
  <si>
    <t>["toolSubtype=Radius", "fluteCount=3날", "workPieceName=비철금속"]</t>
  </si>
  <si>
    <t>[user] 🎯 문의 목적: 신규 제품 추천 🔩 피삭재 (소재): 알루미늄 ⚙️ 가공 형상: Side_Milling,Side Milling 🔧 가공 방식: Milling 📏 공구 직경: 8mm  위 조건으로 적합한 YG-1 제품
[ai] 현재 406개 후보가 있습니다. 날 수(flute) 선호가 있으신가요?
[user] 3날 (193개)</t>
  </si>
  <si>
    <t>ses-1774397183335</t>
  </si>
  <si>
    <t>2026-03-25T00:06:41.170Z</t>
  </si>
  <si>
    <t>300→300→47</t>
  </si>
  <si>
    <t>[{"q": "follow-up", "a": "상관없음", "ef": [{"f": "workPieceName", "v": "상관없음", "op": "skip"}], "b": 300, "a_": 300}, {"q": "follow-up", "a": "X-코팅 제품으로 날장이 10mm 이상인 제품 추천해주세요", "ef": [{"f": "coating", "v": "X-Coating", "op": "includes"}], "b": 300, "a_": 47}]</t>
  </si>
  <si>
    <t>["coating=X-Coating"]</t>
  </si>
  <si>
    <t>ses-1774406825840</t>
  </si>
  <si>
    <t>2026-03-25T02:47:19.431Z</t>
  </si>
  <si>
    <t>424→424→154</t>
  </si>
  <si>
    <t>[{"q": "follow-up", "a": "Corner Radius 제품 추천해줘", "ef": [{"f": "workPieceName", "v": "상관없음", "op": "skip"}], "b": 424, "a_": 424}, {"q": "follow-up", "a": "Bright Finish (154개)", "ef": [{"f": "coating", "v": "Bright Finish", "op": "includes"}], "b": 424, "a_": 154}]</t>
  </si>
  <si>
    <t>["coating=Bright Finish"]</t>
  </si>
  <si>
    <t>2026-03-25T03:11:54.132Z</t>
  </si>
  <si>
    <t>ses-1774442911796</t>
  </si>
  <si>
    <t>2026-03-25T12:50:28.699Z</t>
  </si>
  <si>
    <t>353→353→353</t>
  </si>
  <si>
    <t>[{"q": "follow-up", "a": "상관없음", "ef": [{"f": "workPieceName", "v": "상관없음", "op": "skip"}], "b": 353, "a_": 353}, {"q": "follow-up", "a": "우선 그건 모르겠고 코너레디우스 제품 추천해줘", "ef": [{"f": "fluteCount", "v": "상관없음", "op": "skip"}], "b": 353, "a_": 353}]</t>
  </si>
  <si>
    <t>["workPieceName=skip", "fluteCount=skip"]</t>
  </si>
  <si>
    <t>[user] 🎯 문의 목적: 신규 제품 추천 🔩 피삭재 (소재): 티타늄 ⚙️ 가공 형상: Slotting 🔧 가공 방식: Milling 📏 공구 직경: 10mm  위 조건으로 적합한 YG-1 제품을 추천해주세요.
[ai] 티타늄 소재 10mm 슬로팅 가공이시군요. 현재 353개 제품이 매칭됩니다.  티타늄 소재를 좀 더 구체적으로 알려주시겠어요? 순수 티타늄인지, 티타늄 합금(Ti-6Al-4V 등)인지요?
[user] 상관없음</t>
  </si>
  <si>
    <t>2026-03-27T02:25:25.547Z</t>
  </si>
  <si>
    <t>ses-1774583578567</t>
  </si>
  <si>
    <t>2026-03-27T03:53:27.736Z</t>
  </si>
  <si>
    <t>26→43→6</t>
  </si>
  <si>
    <t>[{"q": "initial", "a": "3날 말고 2날로 추천", "ef": [{"f": "fluteCount", "v": "2날", "op": "eq"}], "b": 26, "a_": 43}, {"q": "follow-up", "a": "Radius (4개)", "ef": [{"f": "toolSubtype", "v": "Radius", "op": "includes"}], "b": 43, "a_": 6}]</t>
  </si>
  <si>
    <t>["toolSubtype=Radius", "fluteCount=2날"]</t>
  </si>
  <si>
    <t>ses-1774369684530</t>
  </si>
  <si>
    <t>2026-03-24T16:33:10.325Z</t>
  </si>
  <si>
    <t>424→424</t>
  </si>
  <si>
    <t>[{"q": "follow-up", "a": "상관없음", "ef": [{"f": "workPieceName", "v": "상관없음", "op": "skip"}], "b": 424, "a_": 424}]</t>
  </si>
  <si>
    <t>[user] 🎯 문의 목적: 신규 제품 추천 🔩 피삭재 (소재): 알루미늄 ⚙️ 가공 형상: 모름 🔧 가공 방식: Milling 📏 공구 직경: 10mm  위 조건으로 적합한 YG-1 제품을 추천해주세요.
[ai] 알루미늄 소재용 φ10mm 밀링 공구 찾으시는군요. 현재 424개 제품이 매칭됩니다.  알루미늄 세부 종류를 알려주시면 더 정확한 추천이 가능합니다. 연질/단조/주조 중 어떤 알루미늄인가요? (모르시면 '상관없음' 
[user] 상관없음</t>
  </si>
  <si>
    <t>ses-1774372234417</t>
  </si>
  <si>
    <t>2026-03-24T17:11:09.733Z</t>
  </si>
  <si>
    <t>353→353</t>
  </si>
  <si>
    <t>[{"q": "follow-up", "a": "상관없음", "ef": [{"f": "workPieceName", "v": "상관없음", "op": "skip"}], "b": 353, "a_": 353}]</t>
  </si>
  <si>
    <t>ses-1774374114955</t>
  </si>
  <si>
    <t>2026-03-24T17:46:06.789Z</t>
  </si>
  <si>
    <t>[user] 🎯 문의 목적: 신규 제품 추천 🔩 피삭재 (소재): 알루미늄 ⚙️ 가공 형상: 모름 🔧 가공 방식: Milling 📏 공구 직경: 10mm  위 조건으로 적합한 YG-1 제품을 추천해주세요.
[ai] 알루미늄 소재에 직경 10mm 밀링 공구를 찾으시는군요. 현재 424개 제품이 매칭됩니다.  알루미늄 중에서도 어떤 종류인가요? 연질 알루미늄인지, 주조 합금인지, 단조 합금인지에 따라 날 형상과 코팅이 달라집니다.
[user] 상관없음</t>
  </si>
  <si>
    <t>ses-1774396150870</t>
  </si>
  <si>
    <t>2026-03-24T23:50:33.689Z</t>
  </si>
  <si>
    <t>[user] 🎯 문의 목적: 신규 제품 추천 🔩 피삭재 (소재): 알루미늄 ⚙️ 가공 형상: 모름 🔧 가공 방식: Milling 📏 공구 직경: 10mm  위 조건으로 적합한 YG-1 제품을 추천해주세요.
[ai] 알루미늄 소재 φ10mm 밀링용 엔드밀이시군요. 현재 424개 제품이 매칭됩니다.  알루미늉 중에서도 **연질, 단조 합금, 주조 합금** 등 세부 소재에 따라 날 설계가 달라집니다. 어떤 알루미늄을 가공하시나요?
[user] 상관없음</t>
  </si>
  <si>
    <t>ses-1774396620068</t>
  </si>
  <si>
    <t>2026-03-24T23:57:13.261Z</t>
  </si>
  <si>
    <t>1,852→1,852</t>
  </si>
  <si>
    <t>[{"q": "follow-up", "a": "상관없음", "ef": [{"f": "workPieceName", "v": "상관없음", "op": "skip"}], "b": 1852, "a_": 1852}]</t>
  </si>
  <si>
    <t>[user] 🎯 문의 목적: 신규 제품 추천 🔩 피삭재 (소재): 알루미늄 ⚙️ 가공 형상: 모름 🔧 가공 방식: Milling 📏 공구 직경: 모름  위 조건으로 적합한 YG-1 제품을 추천해주세요.
[ai] 알루미늄 밀링 가공용 엔드밀을 찾고 계시네요. 현재 1,852개 제품이 있습니다.  알루미늄 소재를 좀 더 구체적으로 알려주시겠어요? (연질/경질, 주조/단조 등)
[user] 상관없음</t>
  </si>
  <si>
    <t>2026-03-24T23:58:59.267Z</t>
  </si>
  <si>
    <t>2026-03-24T23:59:38.315Z</t>
  </si>
  <si>
    <t>2026-03-25T00:00:33.556Z</t>
  </si>
  <si>
    <t>2026-03-25T00:01:24.911Z</t>
  </si>
  <si>
    <t>2026-03-25T00:02:07.338Z</t>
  </si>
  <si>
    <t>2026-03-25T00:02:55.074Z</t>
  </si>
  <si>
    <t>ses-1774397158409</t>
  </si>
  <si>
    <t>2026-03-25T00:06:05.316Z</t>
  </si>
  <si>
    <t>300→300</t>
  </si>
  <si>
    <t>[{"q": "follow-up", "a": "상관없음", "ef": [{"f": "workPieceName", "v": "상관없음", "op": "skip"}], "b": 300, "a_": 300}]</t>
  </si>
  <si>
    <t>ses-1774398971270</t>
  </si>
  <si>
    <t>2026-03-25T00:36:18.331Z</t>
  </si>
  <si>
    <t>[user] 🎯 문의 목적: 신규 제품 추천 🔩 피삭재 (소재): 알루미늄 ⚙️ 가공 형상: Side_Milling 🔧 가공 방식: Milling 📏 공구 직경: 10mm  위 조건으로 적합한 YG-1 제품을 추천해주세요.
[ai] 알루미늄 소재에 10mm 엔드밀로 측면 가공하시는군요. 현재 424개 제품이 매칭됩니다.  가공하실 알루미늄의 종류를 선택해주세요 — 연질인지, 합금인지에 따라 최적 제품이 달라집니다.
[user] 상관없음</t>
  </si>
  <si>
    <t>2026-03-25T00:37:47.646Z</t>
  </si>
  <si>
    <t>2026-03-25T00:39:15.504Z</t>
  </si>
  <si>
    <t>2026-03-25T00:41:45.415Z</t>
  </si>
  <si>
    <t>2026-03-25T00:42:25.650Z</t>
  </si>
  <si>
    <t>ses-1774406806266</t>
  </si>
  <si>
    <t>2026-03-25T02:46:53.377Z</t>
  </si>
  <si>
    <t>[{"q": "follow-up", "a": "Corner Radius 제품 추천해줘", "ef": [{"f": "workPieceName", "v": "상관없음", "op": "skip"}], "b": 424, "a_": 424}]</t>
  </si>
  <si>
    <t>ses-1774411812221</t>
  </si>
  <si>
    <t>2026-03-25T04:10:46.945Z</t>
  </si>
  <si>
    <t>424→66</t>
  </si>
  <si>
    <t>[{"q": "initial", "a": "알루미늄", "ef": [{"f": "workPieceName", "v": "알루미늄", "op": "includes"}], "b": 424, "a_": 66}]</t>
  </si>
  <si>
    <t>[user] 🎯 문의 목적: 신규 제품 추천 🔩 피삭재 (소재): 알루미늄 ⚙️ 가공 형상: 모름 🔧 가공 방식: Milling 📏 공구 직경: 10mm  위 조건으로 적합한 YG-1 제품을 추천해주세요.
[ai] 알루미늄 소재를 10mm 엔드밀로 밀링 가공하시는군요. 현재 424개 제품이 매칭됩니다.  작업하실 알루미늄의 종류를 알려주시겠어요? 순알루미늄인지, 6061 같은 합금인지에 따라 최적 제품이 달라집니다.
[user] 알루미늄</t>
  </si>
  <si>
    <t>early_dissatisfaction</t>
  </si>
  <si>
    <t>ses-1774439087183</t>
  </si>
  <si>
    <t>2026-03-25T11:47:23.983Z</t>
  </si>
  <si>
    <t>[user] 🎯 문의 목적: 신규 제품 추천 🔩 피삭재 (소재): 알루미늄 ⚙️ 가공 형상: 모름 🔧 가공 방식: Milling 📏 공구 직경: 10mm  위 조건으로 적합한 YG-1 제품을 추천해주세요.
[ai] 알루미늄 소재, 직경 10mm 밀링 공구를 찾으시는군요. 현재 424개 제품이 매칭됩니다.  알루미늄 내에서도 세부 소재에 따라 최적 제품이 달라집니다. 어떤 소재를 가공하시나요?
[user] 알루미늄</t>
  </si>
  <si>
    <t>2026-03-25T11:51:18.457Z</t>
  </si>
  <si>
    <t>ses-1774439944181</t>
  </si>
  <si>
    <t>2026-03-25T11:59:57.738Z</t>
  </si>
  <si>
    <t>[user] 🎯 문의 목적: 신규 제품 추천 🔩 피삭재 (소재): 알루미늄 ⚙️ 가공 형상: 모름 🔧 가공 방식: Milling 📏 공구 직경: 10mm  위 조건으로 적합한 YG-1 제품을 추천해주세요.
[ai] 알루미늄 10mm 엔드밀 추천해드릴게요. 현재 424개 제품이 매칭됩니다.  알루미늄 중에서도 구체적으로 어떤 소재인가요?
[user] 상관없음</t>
  </si>
  <si>
    <t>ses-1774442860818</t>
  </si>
  <si>
    <t>2026-03-25T12:47:45.959Z</t>
  </si>
  <si>
    <t>ses-1774586426176</t>
  </si>
  <si>
    <t>2026-03-27T04:42:02.073Z</t>
  </si>
  <si>
    <t>639→227</t>
  </si>
  <si>
    <t>[{"q": "initial", "a": "그럼 Square 2날로 추천해주세요", "ef": [{"f": "toolSubtype", "v": "Square", "op": "includes"}], "b": 639, "a_": 227}]</t>
  </si>
  <si>
    <t>["toolSubtype=Square"]</t>
  </si>
  <si>
    <t>[user] 🎯 문의 목적: 신규 제품 추천 🔩 피삭재 (소재): 고경도강 ⚙️ 가공 형상: 모름 🔧 가공 방식: Milling 📏 공구 직경: 10mm  위 조건으로 적합한 YG-1 제품을 추천해주세요.
[ai] 공구 세부 타입이 중요한가요? Radius (299개), Square (223개), Ball (113개) 등이 있습니다.
[user] 램핑 가공을 하려고 하는데 무슨 날이 좋나요?</t>
  </si>
  <si>
    <t>📊 Gold Set v2 현황</t>
  </si>
  <si>
    <t>선별 구성</t>
  </si>
  <si>
    <t>총 선별 건수</t>
  </si>
  <si>
    <t>진짜 멀티턴 (2단계 이상)</t>
  </si>
  <si>
    <t>139 건</t>
  </si>
  <si>
    <t>69%</t>
  </si>
  <si>
    <t>userComment 보유</t>
  </si>
  <si>
    <t>39 건</t>
  </si>
  <si>
    <t>19%</t>
  </si>
  <si>
    <t>티어 분포</t>
  </si>
  <si>
    <t>0%</t>
  </si>
  <si>
    <t>57%</t>
  </si>
  <si>
    <t>24%</t>
  </si>
  <si>
    <t>판정 현황 (3열 V 입력 기준 · 컨펌 시트 변경시 자동)</t>
  </si>
  <si>
    <t>⭕ Gold 인정</t>
  </si>
  <si>
    <t>❌ 제외</t>
  </si>
  <si>
    <t>❓ 보류</t>
  </si>
  <si>
    <t>⬜ 미검토</t>
  </si>
  <si>
    <t>진행률</t>
  </si>
  <si>
    <t>검토 완료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</si>
</sst>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24"/>
      <color rgb="FF1F4E78"/>
      <name val="맑은 고딕"/>
    </font>
    <font>
      <i/>
      <sz val="12"/>
      <color rgb="FF424242"/>
      <name val="맑은 고딕"/>
    </font>
    <font>
      <b/>
      <sz val="15"/>
      <color rgb="FF1F4E78"/>
      <name val="맑은 고딕"/>
    </font>
    <font>
      <sz val="12"/>
      <color rgb="FF000000"/>
      <name val="맑은 고딕"/>
    </font>
    <font>
      <b/>
      <sz val="13"/>
      <color rgb="FF000000"/>
      <name val="맑은 고딕"/>
    </font>
    <font>
      <b/>
      <sz val="13"/>
      <color rgb="FFFFFFFF"/>
      <name val="맑은 고딕"/>
    </font>
    <font>
      <b/>
      <sz val="14"/>
      <color rgb="FFFFFFFF"/>
      <name val="맑은 고딕"/>
    </font>
    <font>
      <i/>
      <sz val="10"/>
      <color rgb="FF808080"/>
      <name val="맑은 고딕"/>
    </font>
    <font>
      <b/>
      <sz val="12"/>
      <color rgb="FFFFFFFF"/>
      <name val="맑은 고딕"/>
    </font>
    <font>
      <b/>
      <sz val="12"/>
      <color rgb="FF1B5E20"/>
      <name val="맑은 고딕"/>
    </font>
    <font>
      <b/>
      <sz val="11"/>
      <color rgb="FFFFFFFF"/>
      <name val="맑은 고딕"/>
    </font>
    <font>
      <b/>
      <sz val="10"/>
      <color rgb="FFFFFFFF"/>
      <name val="맑은 고딕"/>
    </font>
    <font>
      <sz val="10"/>
      <color rgb="FF000000"/>
      <name val="맑은 고딕"/>
    </font>
    <font>
      <b/>
      <sz val="11"/>
      <color rgb="FF000000"/>
      <name val="맑은 고딕"/>
    </font>
    <font>
      <b/>
      <sz val="10"/>
      <color rgb="FFAD1457"/>
      <name val="맑은 고딕"/>
    </font>
    <font>
      <b/>
      <sz val="14"/>
      <color rgb="FF1F4E78"/>
      <name val="맑은 고딕"/>
    </font>
    <font>
      <sz val="10"/>
      <color rgb="FF424242"/>
      <name val="맑은 고딕"/>
    </font>
    <font>
      <b/>
      <sz val="10"/>
      <color rgb="FFB71C1C"/>
      <name val="맑은 고딕"/>
    </font>
    <font>
      <sz val="9"/>
      <color rgb="FF000000"/>
      <name val="맑은 고딕"/>
    </font>
    <font>
      <b/>
      <sz val="18"/>
      <color rgb="FF1F4E78"/>
      <name val="맑은 고딕"/>
    </font>
    <font>
      <sz val="11"/>
      <color rgb="FF000000"/>
      <name val="맑은 고딕"/>
    </font>
    <font>
      <b/>
      <sz val="12"/>
      <color rgb="FF1F4E78"/>
      <name val="맑은 고딕"/>
    </font>
    <font>
      <sz val="10"/>
      <color rgb="FF808080"/>
      <name val="맑은 고딕"/>
    </font>
    <font>
      <b/>
      <sz val="12"/>
      <color rgb="FF000000"/>
      <name val="맑은 고딕"/>
    </font>
    <font>
      <sz val="11"/>
      <color rgb="FF808080"/>
      <name val="맑은 고딕"/>
    </font>
  </fonts>
  <fills count="22">
    <fill>
      <patternFill patternType="none"/>
    </fill>
    <fill>
      <patternFill patternType="gray125"/>
    </fill>
    <fill>
      <patternFill patternType="solid">
        <fgColor rgb="FFD9E2F3"/>
      </patternFill>
    </fill>
    <fill>
      <patternFill patternType="solid">
        <fgColor rgb="FFFCE4EC"/>
      </patternFill>
    </fill>
    <fill>
      <patternFill patternType="solid">
        <fgColor rgb="FFF3E5F5"/>
      </patternFill>
    </fill>
    <fill>
      <patternFill patternType="solid">
        <fgColor rgb="FFE3F2FD"/>
      </patternFill>
    </fill>
    <fill>
      <patternFill patternType="solid">
        <fgColor rgb="FFFFF3E0"/>
      </patternFill>
    </fill>
    <fill>
      <patternFill patternType="solid">
        <fgColor rgb="FF1F4E78"/>
      </patternFill>
    </fill>
    <fill>
      <patternFill patternType="solid">
        <fgColor rgb="FFE8F5E9"/>
      </patternFill>
    </fill>
    <fill>
      <patternFill patternType="solid">
        <fgColor rgb="FFC62828"/>
      </patternFill>
    </fill>
    <fill>
      <patternFill patternType="solid">
        <fgColor rgb="FF9E9E9E"/>
      </patternFill>
    </fill>
    <fill>
      <patternFill patternType="solid">
        <fgColor rgb="FF616161"/>
      </patternFill>
    </fill>
    <fill>
      <patternFill patternType="solid">
        <fgColor rgb="FF2E5C8A"/>
      </patternFill>
    </fill>
    <fill>
      <patternFill patternType="solid">
        <fgColor rgb="FFFFF0F3"/>
      </patternFill>
    </fill>
    <fill>
      <patternFill patternType="solid">
        <fgColor rgb="FFFFFDE7"/>
      </patternFill>
    </fill>
    <fill>
      <patternFill patternType="solid">
        <fgColor rgb="FFFFF8DC"/>
      </patternFill>
    </fill>
    <fill>
      <patternFill patternType="solid">
        <fgColor rgb="FFFAF4FC"/>
      </patternFill>
    </fill>
    <fill>
      <patternFill patternType="solid">
        <fgColor rgb="FFF5FAFE"/>
      </patternFill>
    </fill>
    <fill>
      <patternFill patternType="solid">
        <fgColor rgb="FFFFF9C4"/>
      </patternFill>
    </fill>
    <fill>
      <patternFill patternType="solid">
        <fgColor rgb="FFFFFAF0"/>
      </patternFill>
    </fill>
    <fill>
      <patternFill patternType="solid">
        <fgColor rgb="FFFFEBEE"/>
      </patternFill>
    </fill>
    <fill>
      <patternFill patternType="solid">
        <fgColor rgb="FFF5F5F5"/>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75">
    <xf numFmtId="0" fontId="0" fillId="0" borderId="0" xfId="0"/>
    <xf numFmtId="0" fontId="5" fillId="3" borderId="1" xfId="0" applyFont="1" applyFill="1" applyBorder="1" applyAlignment="1">
      <alignment horizontal="center" vertical="center"/>
    </xf>
    <xf numFmtId="0" fontId="4" fillId="0" borderId="1" xfId="0" applyFont="1" applyBorder="1" applyAlignment="1">
      <alignment horizontal="left" vertical="center" indent="1"/>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0" fillId="7" borderId="1" xfId="0" applyFill="1" applyBorder="1"/>
    <xf numFmtId="0" fontId="7" fillId="7" borderId="1" xfId="0" applyFont="1" applyFill="1" applyBorder="1" applyAlignment="1">
      <alignment horizontal="center" vertical="center"/>
    </xf>
    <xf numFmtId="0" fontId="12" fillId="12" borderId="1" xfId="0" applyFont="1" applyFill="1" applyBorder="1" applyAlignment="1">
      <alignment horizontal="center" vertical="center" wrapText="1"/>
    </xf>
    <xf numFmtId="0" fontId="13" fillId="13" borderId="1" xfId="0" applyFont="1" applyFill="1" applyBorder="1" applyAlignment="1">
      <alignment horizontal="center" vertical="center"/>
    </xf>
    <xf numFmtId="0" fontId="13" fillId="13" borderId="1" xfId="0" applyFont="1" applyFill="1" applyBorder="1" applyAlignment="1">
      <alignment horizontal="left" vertical="center" indent="1"/>
    </xf>
    <xf numFmtId="0" fontId="14" fillId="3" borderId="1" xfId="0" applyFont="1" applyFill="1" applyBorder="1" applyAlignment="1">
      <alignment horizontal="center" vertical="center"/>
    </xf>
    <xf numFmtId="0" fontId="14" fillId="14" borderId="1" xfId="0" applyFont="1" applyFill="1" applyBorder="1" applyAlignment="1">
      <alignment horizontal="left" vertical="top" wrapText="1" indent="1"/>
    </xf>
    <xf numFmtId="0" fontId="13" fillId="13" borderId="1" xfId="0" applyFont="1" applyFill="1" applyBorder="1" applyAlignment="1">
      <alignment horizontal="left" vertical="top" wrapText="1" indent="1"/>
    </xf>
    <xf numFmtId="0" fontId="13" fillId="8" borderId="1" xfId="0" applyFont="1" applyFill="1" applyBorder="1" applyAlignment="1">
      <alignment horizontal="left" vertical="top" wrapText="1" indent="1"/>
    </xf>
    <xf numFmtId="0" fontId="15" fillId="3" borderId="1" xfId="0" applyFont="1" applyFill="1" applyBorder="1" applyAlignment="1">
      <alignment horizontal="left" vertical="top" wrapText="1" indent="1"/>
    </xf>
    <xf numFmtId="0" fontId="16" fillId="13" borderId="1" xfId="0" applyFont="1" applyFill="1" applyBorder="1" applyAlignment="1">
      <alignment horizontal="center" vertical="center"/>
    </xf>
    <xf numFmtId="0" fontId="13" fillId="15" borderId="1" xfId="0" applyFont="1" applyFill="1" applyBorder="1" applyAlignment="1">
      <alignment horizontal="left" vertical="top" wrapText="1" indent="1"/>
    </xf>
    <xf numFmtId="0" fontId="13" fillId="16" borderId="1" xfId="0" applyFont="1" applyFill="1" applyBorder="1" applyAlignment="1">
      <alignment horizontal="center" vertical="center"/>
    </xf>
    <xf numFmtId="0" fontId="13" fillId="16" borderId="1" xfId="0" applyFont="1" applyFill="1" applyBorder="1" applyAlignment="1">
      <alignment horizontal="left" vertical="center" indent="1"/>
    </xf>
    <xf numFmtId="0" fontId="14" fillId="4" borderId="1" xfId="0" applyFont="1" applyFill="1" applyBorder="1" applyAlignment="1">
      <alignment horizontal="center" vertical="center"/>
    </xf>
    <xf numFmtId="0" fontId="13" fillId="16" borderId="1" xfId="0" applyFont="1" applyFill="1" applyBorder="1" applyAlignment="1">
      <alignment horizontal="left" vertical="top" wrapText="1" indent="1"/>
    </xf>
    <xf numFmtId="0" fontId="17" fillId="0" borderId="1" xfId="0" applyFont="1" applyBorder="1" applyAlignment="1">
      <alignment horizontal="left" vertical="top" wrapText="1" indent="1"/>
    </xf>
    <xf numFmtId="0" fontId="16" fillId="16" borderId="1" xfId="0" applyFont="1" applyFill="1" applyBorder="1" applyAlignment="1">
      <alignment horizontal="center" vertical="center"/>
    </xf>
    <xf numFmtId="0" fontId="13" fillId="17" borderId="1" xfId="0" applyFont="1" applyFill="1" applyBorder="1" applyAlignment="1">
      <alignment horizontal="center" vertical="center"/>
    </xf>
    <xf numFmtId="0" fontId="13" fillId="17" borderId="1" xfId="0" applyFont="1" applyFill="1" applyBorder="1" applyAlignment="1">
      <alignment horizontal="left" vertical="center" indent="1"/>
    </xf>
    <xf numFmtId="0" fontId="14" fillId="5" borderId="1" xfId="0" applyFont="1" applyFill="1" applyBorder="1" applyAlignment="1">
      <alignment horizontal="center" vertical="center"/>
    </xf>
    <xf numFmtId="0" fontId="13" fillId="17" borderId="1" xfId="0" applyFont="1" applyFill="1" applyBorder="1" applyAlignment="1">
      <alignment horizontal="left" vertical="top" wrapText="1" indent="1"/>
    </xf>
    <xf numFmtId="0" fontId="16" fillId="17" borderId="1" xfId="0" applyFont="1" applyFill="1" applyBorder="1" applyAlignment="1">
      <alignment horizontal="center" vertical="center"/>
    </xf>
    <xf numFmtId="0" fontId="18" fillId="18" borderId="1" xfId="0" applyFont="1" applyFill="1" applyBorder="1" applyAlignment="1">
      <alignment horizontal="left" vertical="top" wrapText="1" indent="1"/>
    </xf>
    <xf numFmtId="0" fontId="13" fillId="19" borderId="1" xfId="0" applyFont="1" applyFill="1" applyBorder="1" applyAlignment="1">
      <alignment horizontal="center" vertical="center"/>
    </xf>
    <xf numFmtId="0" fontId="13" fillId="19" borderId="1" xfId="0" applyFont="1" applyFill="1" applyBorder="1" applyAlignment="1">
      <alignment horizontal="left" vertical="center" indent="1"/>
    </xf>
    <xf numFmtId="0" fontId="14" fillId="6" borderId="1" xfId="0" applyFont="1" applyFill="1" applyBorder="1" applyAlignment="1">
      <alignment horizontal="center" vertical="center"/>
    </xf>
    <xf numFmtId="0" fontId="13" fillId="19" borderId="1" xfId="0" applyFont="1" applyFill="1" applyBorder="1" applyAlignment="1">
      <alignment horizontal="left" vertical="top" wrapText="1" indent="1"/>
    </xf>
    <xf numFmtId="0" fontId="16" fillId="19" borderId="1" xfId="0" applyFont="1" applyFill="1" applyBorder="1" applyAlignment="1">
      <alignment horizontal="center" vertical="center"/>
    </xf>
    <xf numFmtId="0" fontId="12" fillId="7" borderId="1" xfId="0" applyFont="1" applyFill="1" applyBorder="1" applyAlignment="1">
      <alignment horizontal="center" vertical="center" wrapText="1"/>
    </xf>
    <xf numFmtId="0" fontId="19" fillId="0" borderId="1" xfId="0" applyFont="1" applyBorder="1" applyAlignment="1">
      <alignment horizontal="left" vertical="center" indent="1"/>
    </xf>
    <xf numFmtId="0" fontId="19" fillId="0" borderId="1" xfId="0" applyFont="1" applyBorder="1" applyAlignment="1">
      <alignment horizontal="center" vertical="center"/>
    </xf>
    <xf numFmtId="0" fontId="19" fillId="0" borderId="1" xfId="0" applyFont="1" applyBorder="1" applyAlignment="1">
      <alignment horizontal="left" vertical="top" wrapText="1" indent="1"/>
    </xf>
    <xf numFmtId="0" fontId="21" fillId="0" borderId="1" xfId="0" applyFont="1" applyBorder="1" applyAlignment="1">
      <alignment horizontal="left" vertical="center" indent="2"/>
    </xf>
    <xf numFmtId="0" fontId="22" fillId="0" borderId="1" xfId="0" applyFont="1" applyBorder="1" applyAlignment="1">
      <alignment horizontal="center" vertical="center"/>
    </xf>
    <xf numFmtId="0" fontId="23" fillId="0" borderId="1" xfId="0" applyFont="1" applyBorder="1" applyAlignment="1">
      <alignment horizontal="left" vertical="center" indent="1"/>
    </xf>
    <xf numFmtId="0" fontId="24" fillId="3" borderId="1" xfId="0" applyFont="1" applyFill="1" applyBorder="1" applyAlignment="1">
      <alignment horizontal="center" vertical="center"/>
    </xf>
    <xf numFmtId="0" fontId="24" fillId="0" borderId="1" xfId="0" applyFont="1" applyBorder="1" applyAlignment="1">
      <alignment horizontal="center" vertical="center"/>
    </xf>
    <xf numFmtId="0" fontId="25" fillId="0" borderId="1" xfId="0" applyFont="1" applyBorder="1" applyAlignment="1">
      <alignment horizontal="center" vertical="center"/>
    </xf>
    <xf numFmtId="0" fontId="24" fillId="4" borderId="1" xfId="0" applyFont="1" applyFill="1" applyBorder="1" applyAlignment="1">
      <alignment horizontal="center" vertical="center"/>
    </xf>
    <xf numFmtId="0" fontId="24" fillId="5" borderId="1" xfId="0" applyFont="1" applyFill="1" applyBorder="1" applyAlignment="1">
      <alignment horizontal="center" vertical="center"/>
    </xf>
    <xf numFmtId="0" fontId="24" fillId="6" borderId="1" xfId="0" applyFont="1" applyFill="1" applyBorder="1" applyAlignment="1">
      <alignment horizontal="center" vertical="center"/>
    </xf>
    <xf numFmtId="0" fontId="4" fillId="8" borderId="1" xfId="0" applyFont="1" applyFill="1" applyBorder="1" applyAlignment="1">
      <alignment horizontal="left" vertical="center" indent="2"/>
    </xf>
    <xf numFmtId="0" fontId="4" fillId="20" borderId="1" xfId="0" applyFont="1" applyFill="1" applyBorder="1" applyAlignment="1">
      <alignment horizontal="left" vertical="center" indent="2"/>
    </xf>
    <xf numFmtId="0" fontId="4" fillId="18" borderId="1" xfId="0" applyFont="1" applyFill="1" applyBorder="1" applyAlignment="1">
      <alignment horizontal="left" vertical="center" indent="2"/>
    </xf>
    <xf numFmtId="0" fontId="4" fillId="21" borderId="1" xfId="0" applyFont="1" applyFill="1" applyBorder="1" applyAlignment="1">
      <alignment horizontal="left" vertical="center" indent="2"/>
    </xf>
    <xf numFmtId="0" fontId="4" fillId="0" borderId="1" xfId="0" applyFont="1" applyBorder="1" applyAlignment="1">
      <alignment horizontal="left" vertical="center" indent="2"/>
    </xf>
    <xf numFmtId="0" fontId="16" fillId="0" borderId="1" xfId="0" applyFont="1" applyBorder="1" applyAlignment="1">
      <alignment horizontal="center" vertical="center"/>
    </xf>
    <xf numFmtId="0" fontId="10" fillId="0" borderId="1" xfId="0" applyFont="1" applyBorder="1" applyAlignment="1">
      <alignment horizontal="center" vertical="center"/>
    </xf>
    <xf numFmtId="0" fontId="4" fillId="0" borderId="0" xfId="0" applyFont="1" applyAlignment="1">
      <alignment horizontal="left" vertical="center" wrapText="1" indent="2"/>
    </xf>
    <xf numFmtId="0" fontId="3" fillId="2" borderId="1" xfId="0" applyFont="1" applyFill="1" applyBorder="1" applyAlignment="1">
      <alignment horizontal="left" vertical="center" indent="1"/>
    </xf>
    <xf numFmtId="0" fontId="8"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9" fillId="10"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9"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8" borderId="1" xfId="0" applyFont="1" applyFill="1" applyBorder="1" applyAlignment="1">
      <alignment horizontal="center" vertical="center"/>
    </xf>
    <xf numFmtId="0" fontId="9" fillId="12" borderId="1" xfId="0" applyFont="1" applyFill="1" applyBorder="1" applyAlignment="1">
      <alignment horizontal="center" vertical="center"/>
    </xf>
    <xf numFmtId="0" fontId="6" fillId="7" borderId="1" xfId="0" applyFont="1" applyFill="1" applyBorder="1" applyAlignment="1">
      <alignment horizontal="left" vertical="center" indent="1"/>
    </xf>
    <xf numFmtId="0" fontId="20" fillId="0" borderId="0" xfId="0" applyFont="1" applyAlignment="1">
      <alignment horizontal="left" vertical="center" indent="1"/>
    </xf>
    <xf numFmtId="0" fontId="0" fillId="0" borderId="0" xfId="0" applyAlignment="1"/>
    <xf numFmtId="0" fontId="0" fillId="0" borderId="2" xfId="0" applyBorder="1" applyAlignment="1"/>
    <xf numFmtId="0" fontId="0" fillId="0" borderId="3" xfId="0" applyBorder="1" applyAlignment="1"/>
  </cellXfs>
  <cellStyles count="1">
    <cellStyle name="표준" xfId="0" builtinId="0"/>
  </cellStyles>
  <dxfs count="9">
    <dxf>
      <fill>
        <patternFill patternType="solid">
          <fgColor rgb="FFFFFDE7"/>
        </patternFill>
      </fill>
    </dxf>
    <dxf>
      <fill>
        <patternFill patternType="solid">
          <fgColor rgb="FFFFEBEE"/>
        </patternFill>
      </fill>
    </dxf>
    <dxf>
      <fill>
        <patternFill patternType="solid">
          <fgColor rgb="FFF1F8E9"/>
        </patternFill>
      </fill>
    </dxf>
    <dxf>
      <font>
        <b/>
        <sz val="14"/>
        <color rgb="FF795548"/>
        <name val="맑은 고딕"/>
      </font>
      <fill>
        <patternFill patternType="solid">
          <fgColor rgb="FFFFF9C4"/>
        </patternFill>
      </fill>
    </dxf>
    <dxf>
      <font>
        <b/>
        <sz val="14"/>
        <color rgb="FF795548"/>
        <name val="맑은 고딕"/>
      </font>
      <fill>
        <patternFill patternType="solid">
          <fgColor rgb="FFFFF9C4"/>
        </patternFill>
      </fill>
    </dxf>
    <dxf>
      <font>
        <b/>
        <sz val="14"/>
        <color rgb="FFB71C1C"/>
        <name val="맑은 고딕"/>
      </font>
      <fill>
        <patternFill patternType="solid">
          <fgColor rgb="FFFFCDD2"/>
        </patternFill>
      </fill>
    </dxf>
    <dxf>
      <font>
        <b/>
        <sz val="14"/>
        <color rgb="FFB71C1C"/>
        <name val="맑은 고딕"/>
      </font>
      <fill>
        <patternFill patternType="solid">
          <fgColor rgb="FFFFCDD2"/>
        </patternFill>
      </fill>
    </dxf>
    <dxf>
      <font>
        <b/>
        <sz val="14"/>
        <color rgb="FF1B5E20"/>
        <name val="맑은 고딕"/>
      </font>
      <fill>
        <patternFill patternType="solid">
          <fgColor rgb="FFC8E6C9"/>
        </patternFill>
      </fill>
    </dxf>
    <dxf>
      <font>
        <b/>
        <sz val="14"/>
        <color rgb="FF1B5E20"/>
        <name val="맑은 고딕"/>
      </font>
      <fill>
        <patternFill patternType="solid">
          <fgColor rgb="FFC8E6C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D36"/>
  <sheetViews>
    <sheetView showGridLines="0" tabSelected="1" zoomScale="110" workbookViewId="0"/>
  </sheetViews>
  <sheetFormatPr defaultRowHeight="15"/>
  <cols>
    <col min="1" max="1" width="3" customWidth="1"/>
    <col min="2" max="2" width="26" customWidth="1"/>
    <col min="3" max="3" width="74" customWidth="1"/>
    <col min="4" max="4" width="6" customWidth="1"/>
    <col min="5" max="5" width="3" customWidth="1"/>
  </cols>
  <sheetData>
    <row r="2" spans="2:4" ht="44.1" customHeight="1">
      <c r="B2" s="61" t="s">
        <v>0</v>
      </c>
      <c r="C2" s="72"/>
      <c r="D2" s="72"/>
    </row>
    <row r="3" spans="2:4" ht="21.95" customHeight="1">
      <c r="B3" s="60" t="s">
        <v>1</v>
      </c>
      <c r="C3" s="72"/>
      <c r="D3" s="72"/>
    </row>
    <row r="5" spans="2:4" ht="32.1" customHeight="1">
      <c r="B5" s="58" t="s">
        <v>2</v>
      </c>
      <c r="C5" s="73"/>
      <c r="D5" s="74"/>
    </row>
    <row r="6" spans="2:4" ht="24" customHeight="1">
      <c r="B6" s="57" t="s">
        <v>3</v>
      </c>
      <c r="C6" s="72"/>
      <c r="D6" s="72"/>
    </row>
    <row r="7" spans="2:4" ht="24" customHeight="1">
      <c r="B7" s="57" t="s">
        <v>4</v>
      </c>
      <c r="C7" s="72"/>
      <c r="D7" s="72"/>
    </row>
    <row r="8" spans="2:4" ht="24" customHeight="1">
      <c r="B8" s="57" t="s">
        <v>5</v>
      </c>
      <c r="C8" s="72"/>
      <c r="D8" s="72"/>
    </row>
    <row r="9" spans="2:4" ht="24" customHeight="1">
      <c r="B9" s="57"/>
      <c r="C9" s="72"/>
      <c r="D9" s="72"/>
    </row>
    <row r="10" spans="2:4" ht="24" customHeight="1">
      <c r="B10" s="57" t="s">
        <v>6</v>
      </c>
      <c r="C10" s="72"/>
      <c r="D10" s="72"/>
    </row>
    <row r="12" spans="2:4" ht="32.1" customHeight="1">
      <c r="B12" s="58" t="s">
        <v>7</v>
      </c>
      <c r="C12" s="73"/>
      <c r="D12" s="74"/>
    </row>
    <row r="13" spans="2:4" ht="24" customHeight="1">
      <c r="B13" s="57" t="s">
        <v>8</v>
      </c>
      <c r="C13" s="72"/>
      <c r="D13" s="72"/>
    </row>
    <row r="14" spans="2:4" ht="24" customHeight="1">
      <c r="B14" s="57" t="s">
        <v>9</v>
      </c>
      <c r="C14" s="72"/>
      <c r="D14" s="72"/>
    </row>
    <row r="15" spans="2:4" ht="24" customHeight="1">
      <c r="B15" s="57" t="s">
        <v>10</v>
      </c>
      <c r="C15" s="72"/>
      <c r="D15" s="72"/>
    </row>
    <row r="17" spans="2:4" ht="32.1" customHeight="1">
      <c r="B17" s="58" t="s">
        <v>11</v>
      </c>
      <c r="C17" s="73"/>
      <c r="D17" s="74"/>
    </row>
    <row r="18" spans="2:4" ht="24" customHeight="1">
      <c r="B18" s="57" t="s">
        <v>12</v>
      </c>
      <c r="C18" s="72"/>
      <c r="D18" s="72"/>
    </row>
    <row r="19" spans="2:4" ht="24" customHeight="1">
      <c r="B19" s="57" t="s">
        <v>13</v>
      </c>
      <c r="C19" s="72"/>
      <c r="D19" s="72"/>
    </row>
    <row r="20" spans="2:4" ht="24" customHeight="1">
      <c r="B20" s="57" t="s">
        <v>14</v>
      </c>
      <c r="C20" s="72"/>
      <c r="D20" s="72"/>
    </row>
    <row r="22" spans="2:4" ht="32.1" customHeight="1">
      <c r="B22" s="58" t="s">
        <v>15</v>
      </c>
      <c r="C22" s="73"/>
      <c r="D22" s="74"/>
    </row>
    <row r="23" spans="2:4" ht="24" customHeight="1">
      <c r="B23" s="57" t="s">
        <v>16</v>
      </c>
      <c r="C23" s="72"/>
      <c r="D23" s="72"/>
    </row>
    <row r="24" spans="2:4" ht="24" customHeight="1">
      <c r="B24" s="57" t="s">
        <v>17</v>
      </c>
      <c r="C24" s="72"/>
      <c r="D24" s="72"/>
    </row>
    <row r="25" spans="2:4" ht="24" customHeight="1">
      <c r="B25" s="57" t="s">
        <v>18</v>
      </c>
      <c r="C25" s="72"/>
      <c r="D25" s="72"/>
    </row>
    <row r="26" spans="2:4" ht="24" customHeight="1">
      <c r="B26" s="57" t="s">
        <v>19</v>
      </c>
      <c r="C26" s="72"/>
      <c r="D26" s="72"/>
    </row>
    <row r="27" spans="2:4" ht="24" customHeight="1">
      <c r="B27" s="57" t="s">
        <v>20</v>
      </c>
      <c r="C27" s="72"/>
      <c r="D27" s="72"/>
    </row>
    <row r="29" spans="2:4" ht="32.1" customHeight="1">
      <c r="B29" s="58" t="s">
        <v>21</v>
      </c>
      <c r="C29" s="73"/>
      <c r="D29" s="74"/>
    </row>
    <row r="30" spans="2:4" ht="26.1" customHeight="1">
      <c r="B30" s="1" t="s">
        <v>22</v>
      </c>
      <c r="C30" s="2" t="s">
        <v>23</v>
      </c>
      <c r="D30" s="3" t="s">
        <v>24</v>
      </c>
    </row>
    <row r="31" spans="2:4" ht="26.1" customHeight="1">
      <c r="B31" s="4" t="s">
        <v>25</v>
      </c>
      <c r="C31" s="2" t="s">
        <v>26</v>
      </c>
      <c r="D31" s="3" t="s">
        <v>27</v>
      </c>
    </row>
    <row r="32" spans="2:4" ht="26.1" customHeight="1">
      <c r="B32" s="5" t="s">
        <v>28</v>
      </c>
      <c r="C32" s="2" t="s">
        <v>29</v>
      </c>
      <c r="D32" s="3" t="s">
        <v>30</v>
      </c>
    </row>
    <row r="33" spans="2:4" ht="26.1" customHeight="1">
      <c r="B33" s="6" t="s">
        <v>31</v>
      </c>
      <c r="C33" s="2" t="s">
        <v>32</v>
      </c>
      <c r="D33" s="3" t="s">
        <v>33</v>
      </c>
    </row>
    <row r="34" spans="2:4" ht="30" customHeight="1">
      <c r="B34" s="7" t="s">
        <v>34</v>
      </c>
      <c r="C34" s="8"/>
      <c r="D34" s="9" t="s">
        <v>35</v>
      </c>
    </row>
    <row r="36" spans="2:4">
      <c r="B36" s="59" t="s">
        <v>36</v>
      </c>
      <c r="C36" s="72"/>
      <c r="D36" s="72"/>
    </row>
  </sheetData>
  <mergeCells count="24">
    <mergeCell ref="B2:D2"/>
    <mergeCell ref="B3:D3"/>
    <mergeCell ref="B22:D22"/>
    <mergeCell ref="B18:D18"/>
    <mergeCell ref="B27:D27"/>
    <mergeCell ref="B12:D12"/>
    <mergeCell ref="B6:D6"/>
    <mergeCell ref="B24:D24"/>
    <mergeCell ref="B20:D20"/>
    <mergeCell ref="B5:D5"/>
    <mergeCell ref="B36:D36"/>
    <mergeCell ref="B26:D26"/>
    <mergeCell ref="B7:D7"/>
    <mergeCell ref="B25:D25"/>
    <mergeCell ref="B29:D29"/>
    <mergeCell ref="B10:D10"/>
    <mergeCell ref="B19:D19"/>
    <mergeCell ref="B9:D9"/>
    <mergeCell ref="B15:D15"/>
    <mergeCell ref="B14:D14"/>
    <mergeCell ref="B23:D23"/>
    <mergeCell ref="B8:D8"/>
    <mergeCell ref="B17:D17"/>
    <mergeCell ref="B13:D13"/>
  </mergeCells>
  <printOptions horizontalCentered="1"/>
  <pageMargins left="0.4" right="0.4"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04"/>
  <sheetViews>
    <sheetView showGridLines="0" workbookViewId="0">
      <pane xSplit="4" ySplit="3" topLeftCell="E4" activePane="bottomRight" state="frozen"/>
      <selection pane="bottomRight"/>
      <selection pane="bottomLeft"/>
      <selection pane="topRight"/>
    </sheetView>
  </sheetViews>
  <sheetFormatPr defaultRowHeight="15"/>
  <cols>
    <col min="1" max="1" width="5" customWidth="1"/>
    <col min="2" max="2" width="12" customWidth="1"/>
    <col min="3" max="3" width="7" customWidth="1"/>
    <col min="4" max="4" width="6" customWidth="1"/>
    <col min="5" max="5" width="38" customWidth="1"/>
    <col min="6" max="6" width="54" customWidth="1"/>
    <col min="7" max="7" width="42" customWidth="1"/>
    <col min="8" max="8" width="22" customWidth="1"/>
    <col min="9" max="11" width="7" customWidth="1"/>
    <col min="12" max="12" width="28" customWidth="1"/>
    <col min="13" max="13" width="24" customWidth="1"/>
  </cols>
  <sheetData>
    <row r="1" spans="1:13" ht="27.95" customHeight="1">
      <c r="A1" s="63" t="s">
        <v>37</v>
      </c>
      <c r="B1" s="73"/>
      <c r="C1" s="73"/>
      <c r="D1" s="74"/>
      <c r="E1" s="68" t="str">
        <f>"  "&amp;COUNTA(I4:K204)&amp;" / 201  "&amp;" ("&amp;TEXT(COUNTA(I4:K204)/201,"0%")&amp;")  |  "&amp;"⭕ "&amp;COUNTA(I4:I204)&amp;"  ❌ "&amp;COUNTA(J4:J204)&amp;"  ❓ "&amp;COUNTA(K4:K204)</f>
        <v xml:space="preserve">  0 / 201   (0%)  |  ⭕ 0  ❌ 0  ❓ 0</v>
      </c>
      <c r="F1" s="73"/>
      <c r="G1" s="73"/>
      <c r="H1" s="74"/>
      <c r="I1" s="65" t="s">
        <v>38</v>
      </c>
      <c r="J1" s="73"/>
      <c r="K1" s="74"/>
      <c r="L1" s="66" t="s">
        <v>39</v>
      </c>
      <c r="M1" s="74"/>
    </row>
    <row r="2" spans="1:13" ht="26.1" customHeight="1">
      <c r="A2" s="67" t="s">
        <v>40</v>
      </c>
      <c r="B2" s="73"/>
      <c r="C2" s="73"/>
      <c r="D2" s="74"/>
      <c r="E2" s="69" t="s">
        <v>41</v>
      </c>
      <c r="F2" s="73"/>
      <c r="G2" s="73"/>
      <c r="H2" s="74"/>
      <c r="I2" s="64" t="s">
        <v>42</v>
      </c>
      <c r="J2" s="73"/>
      <c r="K2" s="74"/>
      <c r="L2" s="62" t="s">
        <v>43</v>
      </c>
      <c r="M2" s="74"/>
    </row>
    <row r="3" spans="1:13" ht="36" customHeight="1">
      <c r="A3" s="10" t="s">
        <v>44</v>
      </c>
      <c r="B3" s="10" t="s">
        <v>45</v>
      </c>
      <c r="C3" s="10" t="s">
        <v>46</v>
      </c>
      <c r="D3" s="10" t="s">
        <v>47</v>
      </c>
      <c r="E3" s="10" t="s">
        <v>48</v>
      </c>
      <c r="F3" s="10" t="s">
        <v>49</v>
      </c>
      <c r="G3" s="10" t="s">
        <v>50</v>
      </c>
      <c r="H3" s="10" t="s">
        <v>51</v>
      </c>
      <c r="I3" s="10" t="s">
        <v>52</v>
      </c>
      <c r="J3" s="10" t="s">
        <v>53</v>
      </c>
      <c r="K3" s="10" t="s">
        <v>54</v>
      </c>
      <c r="L3" s="10" t="s">
        <v>55</v>
      </c>
      <c r="M3" s="10" t="s">
        <v>56</v>
      </c>
    </row>
    <row r="4" spans="1:13" ht="98.1" customHeight="1">
      <c r="A4" s="11">
        <v>1</v>
      </c>
      <c r="B4" s="12" t="s">
        <v>57</v>
      </c>
      <c r="C4" s="13" t="s">
        <v>58</v>
      </c>
      <c r="D4" s="11" t="s">
        <v>59</v>
      </c>
      <c r="E4" s="14" t="s">
        <v>60</v>
      </c>
      <c r="F4" s="15" t="s">
        <v>61</v>
      </c>
      <c r="G4" s="16" t="s">
        <v>62</v>
      </c>
      <c r="H4" s="17" t="s">
        <v>63</v>
      </c>
      <c r="I4" s="18"/>
      <c r="J4" s="18"/>
      <c r="K4" s="18"/>
      <c r="L4" s="19"/>
      <c r="M4" s="12" t="s">
        <v>64</v>
      </c>
    </row>
    <row r="5" spans="1:13" ht="200.1" customHeight="1">
      <c r="A5" s="11">
        <v>2</v>
      </c>
      <c r="B5" s="12" t="s">
        <v>65</v>
      </c>
      <c r="C5" s="13" t="s">
        <v>58</v>
      </c>
      <c r="D5" s="11" t="s">
        <v>59</v>
      </c>
      <c r="E5" s="14" t="s">
        <v>66</v>
      </c>
      <c r="F5" s="15" t="s">
        <v>67</v>
      </c>
      <c r="G5" s="16" t="s">
        <v>68</v>
      </c>
      <c r="H5" s="17" t="s">
        <v>69</v>
      </c>
      <c r="I5" s="18"/>
      <c r="J5" s="18"/>
      <c r="K5" s="18"/>
      <c r="L5" s="19"/>
      <c r="M5" s="12" t="s">
        <v>70</v>
      </c>
    </row>
    <row r="6" spans="1:13" ht="200.1" customHeight="1">
      <c r="A6" s="11">
        <v>3</v>
      </c>
      <c r="B6" s="12" t="s">
        <v>71</v>
      </c>
      <c r="C6" s="13" t="s">
        <v>58</v>
      </c>
      <c r="D6" s="11" t="s">
        <v>59</v>
      </c>
      <c r="E6" s="14" t="s">
        <v>72</v>
      </c>
      <c r="F6" s="15" t="s">
        <v>73</v>
      </c>
      <c r="G6" s="16" t="s">
        <v>74</v>
      </c>
      <c r="H6" s="17" t="s">
        <v>75</v>
      </c>
      <c r="I6" s="18"/>
      <c r="J6" s="18"/>
      <c r="K6" s="18"/>
      <c r="L6" s="19"/>
      <c r="M6" s="12" t="s">
        <v>76</v>
      </c>
    </row>
    <row r="7" spans="1:13" ht="200.1" customHeight="1">
      <c r="A7" s="11">
        <v>4</v>
      </c>
      <c r="B7" s="12" t="s">
        <v>77</v>
      </c>
      <c r="C7" s="13" t="s">
        <v>58</v>
      </c>
      <c r="D7" s="11" t="s">
        <v>59</v>
      </c>
      <c r="E7" s="14" t="s">
        <v>78</v>
      </c>
      <c r="F7" s="15" t="s">
        <v>79</v>
      </c>
      <c r="G7" s="16" t="s">
        <v>80</v>
      </c>
      <c r="H7" s="17" t="s">
        <v>81</v>
      </c>
      <c r="I7" s="18"/>
      <c r="J7" s="18"/>
      <c r="K7" s="18"/>
      <c r="L7" s="19"/>
      <c r="M7" s="12" t="s">
        <v>82</v>
      </c>
    </row>
    <row r="8" spans="1:13" ht="200.1" customHeight="1">
      <c r="A8" s="11">
        <v>5</v>
      </c>
      <c r="B8" s="12" t="s">
        <v>83</v>
      </c>
      <c r="C8" s="13" t="s">
        <v>58</v>
      </c>
      <c r="D8" s="11" t="s">
        <v>59</v>
      </c>
      <c r="E8" s="14" t="s">
        <v>84</v>
      </c>
      <c r="F8" s="15" t="s">
        <v>85</v>
      </c>
      <c r="G8" s="16" t="s">
        <v>86</v>
      </c>
      <c r="H8" s="17" t="s">
        <v>87</v>
      </c>
      <c r="I8" s="18"/>
      <c r="J8" s="18"/>
      <c r="K8" s="18"/>
      <c r="L8" s="19"/>
      <c r="M8" s="12" t="s">
        <v>88</v>
      </c>
    </row>
    <row r="9" spans="1:13" ht="126" customHeight="1">
      <c r="A9" s="11">
        <v>6</v>
      </c>
      <c r="B9" s="12" t="s">
        <v>89</v>
      </c>
      <c r="C9" s="13" t="s">
        <v>58</v>
      </c>
      <c r="D9" s="11" t="s">
        <v>59</v>
      </c>
      <c r="E9" s="14" t="s">
        <v>90</v>
      </c>
      <c r="F9" s="15" t="s">
        <v>91</v>
      </c>
      <c r="G9" s="16" t="s">
        <v>92</v>
      </c>
      <c r="H9" s="17" t="s">
        <v>93</v>
      </c>
      <c r="I9" s="18"/>
      <c r="J9" s="18"/>
      <c r="K9" s="18"/>
      <c r="L9" s="19"/>
      <c r="M9" s="12" t="s">
        <v>94</v>
      </c>
    </row>
    <row r="10" spans="1:13" ht="45" customHeight="1">
      <c r="A10" s="11">
        <v>7</v>
      </c>
      <c r="B10" s="12" t="s">
        <v>95</v>
      </c>
      <c r="C10" s="13" t="s">
        <v>58</v>
      </c>
      <c r="D10" s="11" t="s">
        <v>59</v>
      </c>
      <c r="E10" s="14" t="s">
        <v>96</v>
      </c>
      <c r="F10" s="15" t="s">
        <v>97</v>
      </c>
      <c r="G10" s="16" t="s">
        <v>98</v>
      </c>
      <c r="H10" s="17" t="s">
        <v>99</v>
      </c>
      <c r="I10" s="18"/>
      <c r="J10" s="18"/>
      <c r="K10" s="18"/>
      <c r="L10" s="19"/>
      <c r="M10" s="12" t="s">
        <v>100</v>
      </c>
    </row>
    <row r="11" spans="1:13" ht="98.1" customHeight="1">
      <c r="A11" s="11">
        <v>8</v>
      </c>
      <c r="B11" s="12" t="s">
        <v>101</v>
      </c>
      <c r="C11" s="13" t="s">
        <v>58</v>
      </c>
      <c r="D11" s="11" t="s">
        <v>59</v>
      </c>
      <c r="E11" s="14" t="s">
        <v>102</v>
      </c>
      <c r="F11" s="15" t="s">
        <v>103</v>
      </c>
      <c r="G11" s="16" t="s">
        <v>104</v>
      </c>
      <c r="H11" s="17" t="s">
        <v>105</v>
      </c>
      <c r="I11" s="18"/>
      <c r="J11" s="18"/>
      <c r="K11" s="18"/>
      <c r="L11" s="19"/>
      <c r="M11" s="12" t="s">
        <v>106</v>
      </c>
    </row>
    <row r="12" spans="1:13" ht="200.1" customHeight="1">
      <c r="A12" s="11">
        <v>9</v>
      </c>
      <c r="B12" s="12" t="s">
        <v>107</v>
      </c>
      <c r="C12" s="13" t="s">
        <v>58</v>
      </c>
      <c r="D12" s="11" t="s">
        <v>59</v>
      </c>
      <c r="E12" s="14" t="s">
        <v>108</v>
      </c>
      <c r="F12" s="15" t="s">
        <v>109</v>
      </c>
      <c r="G12" s="16" t="s">
        <v>110</v>
      </c>
      <c r="H12" s="17" t="s">
        <v>111</v>
      </c>
      <c r="I12" s="18"/>
      <c r="J12" s="18"/>
      <c r="K12" s="18"/>
      <c r="L12" s="19"/>
      <c r="M12" s="12" t="s">
        <v>112</v>
      </c>
    </row>
    <row r="13" spans="1:13" ht="200.1" customHeight="1">
      <c r="A13" s="11">
        <v>10</v>
      </c>
      <c r="B13" s="12" t="s">
        <v>113</v>
      </c>
      <c r="C13" s="13" t="s">
        <v>58</v>
      </c>
      <c r="D13" s="11" t="s">
        <v>59</v>
      </c>
      <c r="E13" s="14" t="s">
        <v>114</v>
      </c>
      <c r="F13" s="15" t="s">
        <v>115</v>
      </c>
      <c r="G13" s="16" t="s">
        <v>116</v>
      </c>
      <c r="H13" s="17" t="s">
        <v>117</v>
      </c>
      <c r="I13" s="18"/>
      <c r="J13" s="18"/>
      <c r="K13" s="18"/>
      <c r="L13" s="19"/>
      <c r="M13" s="12" t="s">
        <v>118</v>
      </c>
    </row>
    <row r="14" spans="1:13" ht="200.1" customHeight="1">
      <c r="A14" s="11">
        <v>11</v>
      </c>
      <c r="B14" s="12" t="s">
        <v>119</v>
      </c>
      <c r="C14" s="13" t="s">
        <v>58</v>
      </c>
      <c r="D14" s="11" t="s">
        <v>59</v>
      </c>
      <c r="E14" s="14" t="s">
        <v>120</v>
      </c>
      <c r="F14" s="15" t="s">
        <v>121</v>
      </c>
      <c r="G14" s="16" t="s">
        <v>122</v>
      </c>
      <c r="H14" s="17" t="s">
        <v>123</v>
      </c>
      <c r="I14" s="18"/>
      <c r="J14" s="18"/>
      <c r="K14" s="18"/>
      <c r="L14" s="19"/>
      <c r="M14" s="12" t="s">
        <v>124</v>
      </c>
    </row>
    <row r="15" spans="1:13" ht="200.1" customHeight="1">
      <c r="A15" s="11">
        <v>12</v>
      </c>
      <c r="B15" s="12" t="s">
        <v>125</v>
      </c>
      <c r="C15" s="13" t="s">
        <v>58</v>
      </c>
      <c r="D15" s="11" t="s">
        <v>59</v>
      </c>
      <c r="E15" s="14" t="s">
        <v>126</v>
      </c>
      <c r="F15" s="15" t="s">
        <v>127</v>
      </c>
      <c r="G15" s="16" t="s">
        <v>128</v>
      </c>
      <c r="H15" s="17" t="s">
        <v>129</v>
      </c>
      <c r="I15" s="18"/>
      <c r="J15" s="18"/>
      <c r="K15" s="18"/>
      <c r="L15" s="19"/>
      <c r="M15" s="12" t="s">
        <v>130</v>
      </c>
    </row>
    <row r="16" spans="1:13" ht="200.1" customHeight="1">
      <c r="A16" s="11">
        <v>13</v>
      </c>
      <c r="B16" s="12" t="s">
        <v>131</v>
      </c>
      <c r="C16" s="13" t="s">
        <v>58</v>
      </c>
      <c r="D16" s="11" t="s">
        <v>59</v>
      </c>
      <c r="E16" s="14" t="s">
        <v>132</v>
      </c>
      <c r="F16" s="15" t="s">
        <v>133</v>
      </c>
      <c r="G16" s="16" t="s">
        <v>134</v>
      </c>
      <c r="H16" s="17" t="s">
        <v>135</v>
      </c>
      <c r="I16" s="18"/>
      <c r="J16" s="18"/>
      <c r="K16" s="18"/>
      <c r="L16" s="19"/>
      <c r="M16" s="12" t="s">
        <v>136</v>
      </c>
    </row>
    <row r="17" spans="1:13" ht="200.1" customHeight="1">
      <c r="A17" s="11">
        <v>14</v>
      </c>
      <c r="B17" s="12" t="s">
        <v>137</v>
      </c>
      <c r="C17" s="13" t="s">
        <v>58</v>
      </c>
      <c r="D17" s="11" t="s">
        <v>59</v>
      </c>
      <c r="E17" s="14" t="s">
        <v>138</v>
      </c>
      <c r="F17" s="15" t="s">
        <v>133</v>
      </c>
      <c r="G17" s="16" t="s">
        <v>139</v>
      </c>
      <c r="H17" s="17" t="s">
        <v>140</v>
      </c>
      <c r="I17" s="18"/>
      <c r="J17" s="18"/>
      <c r="K17" s="18"/>
      <c r="L17" s="19"/>
      <c r="M17" s="12" t="s">
        <v>141</v>
      </c>
    </row>
    <row r="18" spans="1:13" ht="200.1" customHeight="1">
      <c r="A18" s="11">
        <v>15</v>
      </c>
      <c r="B18" s="12" t="s">
        <v>142</v>
      </c>
      <c r="C18" s="13" t="s">
        <v>58</v>
      </c>
      <c r="D18" s="11" t="s">
        <v>59</v>
      </c>
      <c r="E18" s="14" t="s">
        <v>143</v>
      </c>
      <c r="F18" s="15" t="s">
        <v>144</v>
      </c>
      <c r="G18" s="16" t="s">
        <v>145</v>
      </c>
      <c r="H18" s="17" t="s">
        <v>146</v>
      </c>
      <c r="I18" s="18"/>
      <c r="J18" s="18"/>
      <c r="K18" s="18"/>
      <c r="L18" s="19"/>
      <c r="M18" s="12" t="s">
        <v>147</v>
      </c>
    </row>
    <row r="19" spans="1:13" ht="200.1" customHeight="1">
      <c r="A19" s="11">
        <v>16</v>
      </c>
      <c r="B19" s="12" t="s">
        <v>148</v>
      </c>
      <c r="C19" s="13" t="s">
        <v>58</v>
      </c>
      <c r="D19" s="11" t="s">
        <v>59</v>
      </c>
      <c r="E19" s="14" t="s">
        <v>149</v>
      </c>
      <c r="F19" s="15" t="s">
        <v>150</v>
      </c>
      <c r="G19" s="16" t="s">
        <v>151</v>
      </c>
      <c r="H19" s="17" t="s">
        <v>152</v>
      </c>
      <c r="I19" s="18"/>
      <c r="J19" s="18"/>
      <c r="K19" s="18"/>
      <c r="L19" s="19"/>
      <c r="M19" s="12" t="s">
        <v>153</v>
      </c>
    </row>
    <row r="20" spans="1:13" ht="200.1" customHeight="1">
      <c r="A20" s="11">
        <v>17</v>
      </c>
      <c r="B20" s="12" t="s">
        <v>154</v>
      </c>
      <c r="C20" s="13" t="s">
        <v>58</v>
      </c>
      <c r="D20" s="11" t="s">
        <v>59</v>
      </c>
      <c r="E20" s="14" t="s">
        <v>155</v>
      </c>
      <c r="F20" s="15" t="s">
        <v>156</v>
      </c>
      <c r="G20" s="16" t="s">
        <v>157</v>
      </c>
      <c r="H20" s="17" t="s">
        <v>158</v>
      </c>
      <c r="I20" s="18"/>
      <c r="J20" s="18"/>
      <c r="K20" s="18"/>
      <c r="L20" s="19"/>
      <c r="M20" s="12" t="s">
        <v>159</v>
      </c>
    </row>
    <row r="21" spans="1:13" ht="45" customHeight="1">
      <c r="A21" s="11">
        <v>18</v>
      </c>
      <c r="B21" s="12" t="s">
        <v>160</v>
      </c>
      <c r="C21" s="13" t="s">
        <v>58</v>
      </c>
      <c r="D21" s="11" t="s">
        <v>59</v>
      </c>
      <c r="E21" s="14" t="s">
        <v>161</v>
      </c>
      <c r="F21" s="15" t="s">
        <v>162</v>
      </c>
      <c r="G21" s="16" t="s">
        <v>163</v>
      </c>
      <c r="H21" s="17" t="s">
        <v>164</v>
      </c>
      <c r="I21" s="18"/>
      <c r="J21" s="18"/>
      <c r="K21" s="18"/>
      <c r="L21" s="19"/>
      <c r="M21" s="12" t="s">
        <v>165</v>
      </c>
    </row>
    <row r="22" spans="1:13" ht="200.1" customHeight="1">
      <c r="A22" s="11">
        <v>19</v>
      </c>
      <c r="B22" s="12" t="s">
        <v>166</v>
      </c>
      <c r="C22" s="13" t="s">
        <v>58</v>
      </c>
      <c r="D22" s="11" t="s">
        <v>59</v>
      </c>
      <c r="E22" s="14" t="s">
        <v>167</v>
      </c>
      <c r="F22" s="15" t="s">
        <v>168</v>
      </c>
      <c r="G22" s="16" t="s">
        <v>169</v>
      </c>
      <c r="H22" s="17" t="s">
        <v>170</v>
      </c>
      <c r="I22" s="18"/>
      <c r="J22" s="18"/>
      <c r="K22" s="18"/>
      <c r="L22" s="19"/>
      <c r="M22" s="12" t="s">
        <v>171</v>
      </c>
    </row>
    <row r="23" spans="1:13" ht="153.94999999999999" customHeight="1">
      <c r="A23" s="11">
        <v>20</v>
      </c>
      <c r="B23" s="12" t="s">
        <v>172</v>
      </c>
      <c r="C23" s="13" t="s">
        <v>58</v>
      </c>
      <c r="D23" s="11" t="s">
        <v>59</v>
      </c>
      <c r="E23" s="14" t="s">
        <v>173</v>
      </c>
      <c r="F23" s="15" t="s">
        <v>174</v>
      </c>
      <c r="G23" s="16" t="s">
        <v>175</v>
      </c>
      <c r="H23" s="17" t="s">
        <v>176</v>
      </c>
      <c r="I23" s="18"/>
      <c r="J23" s="18"/>
      <c r="K23" s="18"/>
      <c r="L23" s="19"/>
      <c r="M23" s="12" t="s">
        <v>177</v>
      </c>
    </row>
    <row r="24" spans="1:13" ht="200.1" customHeight="1">
      <c r="A24" s="11">
        <v>21</v>
      </c>
      <c r="B24" s="12" t="s">
        <v>178</v>
      </c>
      <c r="C24" s="13" t="s">
        <v>58</v>
      </c>
      <c r="D24" s="11" t="s">
        <v>59</v>
      </c>
      <c r="E24" s="14" t="s">
        <v>179</v>
      </c>
      <c r="F24" s="15" t="s">
        <v>180</v>
      </c>
      <c r="G24" s="16" t="s">
        <v>181</v>
      </c>
      <c r="H24" s="17" t="s">
        <v>182</v>
      </c>
      <c r="I24" s="18"/>
      <c r="J24" s="18"/>
      <c r="K24" s="18"/>
      <c r="L24" s="19"/>
      <c r="M24" s="12" t="s">
        <v>183</v>
      </c>
    </row>
    <row r="25" spans="1:13" ht="200.1" customHeight="1">
      <c r="A25" s="11">
        <v>22</v>
      </c>
      <c r="B25" s="12" t="s">
        <v>184</v>
      </c>
      <c r="C25" s="13" t="s">
        <v>58</v>
      </c>
      <c r="D25" s="11" t="s">
        <v>59</v>
      </c>
      <c r="E25" s="14" t="s">
        <v>185</v>
      </c>
      <c r="F25" s="15" t="s">
        <v>186</v>
      </c>
      <c r="G25" s="16" t="s">
        <v>187</v>
      </c>
      <c r="H25" s="17" t="s">
        <v>188</v>
      </c>
      <c r="I25" s="18"/>
      <c r="J25" s="18"/>
      <c r="K25" s="18"/>
      <c r="L25" s="19"/>
      <c r="M25" s="12" t="s">
        <v>189</v>
      </c>
    </row>
    <row r="26" spans="1:13" ht="200.1" customHeight="1">
      <c r="A26" s="11">
        <v>23</v>
      </c>
      <c r="B26" s="12" t="s">
        <v>190</v>
      </c>
      <c r="C26" s="13" t="s">
        <v>58</v>
      </c>
      <c r="D26" s="11" t="s">
        <v>59</v>
      </c>
      <c r="E26" s="14" t="s">
        <v>191</v>
      </c>
      <c r="F26" s="15" t="s">
        <v>186</v>
      </c>
      <c r="G26" s="16" t="s">
        <v>192</v>
      </c>
      <c r="H26" s="17" t="s">
        <v>193</v>
      </c>
      <c r="I26" s="18"/>
      <c r="J26" s="18"/>
      <c r="K26" s="18"/>
      <c r="L26" s="19"/>
      <c r="M26" s="12" t="s">
        <v>194</v>
      </c>
    </row>
    <row r="27" spans="1:13" ht="200.1" customHeight="1">
      <c r="A27" s="11">
        <v>24</v>
      </c>
      <c r="B27" s="12" t="s">
        <v>195</v>
      </c>
      <c r="C27" s="13" t="s">
        <v>58</v>
      </c>
      <c r="D27" s="11" t="s">
        <v>59</v>
      </c>
      <c r="E27" s="14" t="s">
        <v>196</v>
      </c>
      <c r="F27" s="15" t="s">
        <v>197</v>
      </c>
      <c r="G27" s="16" t="s">
        <v>198</v>
      </c>
      <c r="H27" s="17" t="s">
        <v>199</v>
      </c>
      <c r="I27" s="18"/>
      <c r="J27" s="18"/>
      <c r="K27" s="18"/>
      <c r="L27" s="19"/>
      <c r="M27" s="12" t="s">
        <v>200</v>
      </c>
    </row>
    <row r="28" spans="1:13" ht="200.1" customHeight="1">
      <c r="A28" s="11">
        <v>25</v>
      </c>
      <c r="B28" s="12" t="s">
        <v>201</v>
      </c>
      <c r="C28" s="13" t="s">
        <v>58</v>
      </c>
      <c r="D28" s="11" t="s">
        <v>59</v>
      </c>
      <c r="E28" s="14" t="s">
        <v>202</v>
      </c>
      <c r="F28" s="15" t="s">
        <v>203</v>
      </c>
      <c r="G28" s="16" t="s">
        <v>204</v>
      </c>
      <c r="H28" s="17" t="s">
        <v>205</v>
      </c>
      <c r="I28" s="18"/>
      <c r="J28" s="18"/>
      <c r="K28" s="18"/>
      <c r="L28" s="19"/>
      <c r="M28" s="12" t="s">
        <v>206</v>
      </c>
    </row>
    <row r="29" spans="1:13" ht="200.1" customHeight="1">
      <c r="A29" s="11">
        <v>26</v>
      </c>
      <c r="B29" s="12" t="s">
        <v>207</v>
      </c>
      <c r="C29" s="13" t="s">
        <v>58</v>
      </c>
      <c r="D29" s="11" t="s">
        <v>59</v>
      </c>
      <c r="E29" s="14" t="s">
        <v>208</v>
      </c>
      <c r="F29" s="15" t="s">
        <v>209</v>
      </c>
      <c r="G29" s="16" t="s">
        <v>210</v>
      </c>
      <c r="H29" s="17" t="s">
        <v>211</v>
      </c>
      <c r="I29" s="18"/>
      <c r="J29" s="18"/>
      <c r="K29" s="18"/>
      <c r="L29" s="19"/>
      <c r="M29" s="12" t="s">
        <v>212</v>
      </c>
    </row>
    <row r="30" spans="1:13" ht="200.1" customHeight="1">
      <c r="A30" s="11">
        <v>27</v>
      </c>
      <c r="B30" s="12" t="s">
        <v>213</v>
      </c>
      <c r="C30" s="13" t="s">
        <v>58</v>
      </c>
      <c r="D30" s="11" t="s">
        <v>59</v>
      </c>
      <c r="E30" s="14" t="s">
        <v>214</v>
      </c>
      <c r="F30" s="15" t="s">
        <v>215</v>
      </c>
      <c r="G30" s="16" t="s">
        <v>216</v>
      </c>
      <c r="H30" s="17" t="s">
        <v>217</v>
      </c>
      <c r="I30" s="18"/>
      <c r="J30" s="18"/>
      <c r="K30" s="18"/>
      <c r="L30" s="19"/>
      <c r="M30" s="12" t="s">
        <v>218</v>
      </c>
    </row>
    <row r="31" spans="1:13" ht="200.1" customHeight="1">
      <c r="A31" s="11">
        <v>28</v>
      </c>
      <c r="B31" s="12" t="s">
        <v>219</v>
      </c>
      <c r="C31" s="13" t="s">
        <v>58</v>
      </c>
      <c r="D31" s="11" t="s">
        <v>59</v>
      </c>
      <c r="E31" s="14" t="s">
        <v>220</v>
      </c>
      <c r="F31" s="15" t="s">
        <v>221</v>
      </c>
      <c r="G31" s="16" t="s">
        <v>222</v>
      </c>
      <c r="H31" s="17" t="s">
        <v>223</v>
      </c>
      <c r="I31" s="18"/>
      <c r="J31" s="18"/>
      <c r="K31" s="18"/>
      <c r="L31" s="19"/>
      <c r="M31" s="12" t="s">
        <v>224</v>
      </c>
    </row>
    <row r="32" spans="1:13" ht="200.1" customHeight="1">
      <c r="A32" s="11">
        <v>29</v>
      </c>
      <c r="B32" s="12" t="s">
        <v>225</v>
      </c>
      <c r="C32" s="13" t="s">
        <v>58</v>
      </c>
      <c r="D32" s="11" t="s">
        <v>59</v>
      </c>
      <c r="E32" s="14" t="s">
        <v>226</v>
      </c>
      <c r="F32" s="15" t="s">
        <v>227</v>
      </c>
      <c r="G32" s="16" t="s">
        <v>228</v>
      </c>
      <c r="H32" s="17" t="s">
        <v>229</v>
      </c>
      <c r="I32" s="18"/>
      <c r="J32" s="18"/>
      <c r="K32" s="18"/>
      <c r="L32" s="19"/>
      <c r="M32" s="12" t="s">
        <v>230</v>
      </c>
    </row>
    <row r="33" spans="1:13" ht="200.1" customHeight="1">
      <c r="A33" s="11">
        <v>30</v>
      </c>
      <c r="B33" s="12" t="s">
        <v>231</v>
      </c>
      <c r="C33" s="13" t="s">
        <v>58</v>
      </c>
      <c r="D33" s="11" t="s">
        <v>59</v>
      </c>
      <c r="E33" s="14" t="s">
        <v>232</v>
      </c>
      <c r="F33" s="15" t="s">
        <v>227</v>
      </c>
      <c r="G33" s="16" t="s">
        <v>233</v>
      </c>
      <c r="H33" s="17" t="s">
        <v>234</v>
      </c>
      <c r="I33" s="18"/>
      <c r="J33" s="18"/>
      <c r="K33" s="18"/>
      <c r="L33" s="19"/>
      <c r="M33" s="12" t="s">
        <v>235</v>
      </c>
    </row>
    <row r="34" spans="1:13" ht="182.1" customHeight="1">
      <c r="A34" s="11">
        <v>31</v>
      </c>
      <c r="B34" s="12" t="s">
        <v>236</v>
      </c>
      <c r="C34" s="13" t="s">
        <v>58</v>
      </c>
      <c r="D34" s="11" t="s">
        <v>59</v>
      </c>
      <c r="E34" s="14" t="s">
        <v>237</v>
      </c>
      <c r="F34" s="15" t="s">
        <v>238</v>
      </c>
      <c r="G34" s="16" t="s">
        <v>239</v>
      </c>
      <c r="H34" s="17" t="s">
        <v>240</v>
      </c>
      <c r="I34" s="18"/>
      <c r="J34" s="18"/>
      <c r="K34" s="18"/>
      <c r="L34" s="19"/>
      <c r="M34" s="12" t="s">
        <v>241</v>
      </c>
    </row>
    <row r="35" spans="1:13" ht="200.1" customHeight="1">
      <c r="A35" s="11">
        <v>32</v>
      </c>
      <c r="B35" s="12" t="s">
        <v>242</v>
      </c>
      <c r="C35" s="13" t="s">
        <v>58</v>
      </c>
      <c r="D35" s="11" t="s">
        <v>59</v>
      </c>
      <c r="E35" s="14" t="s">
        <v>243</v>
      </c>
      <c r="F35" s="15" t="s">
        <v>244</v>
      </c>
      <c r="G35" s="16" t="s">
        <v>245</v>
      </c>
      <c r="H35" s="17" t="s">
        <v>246</v>
      </c>
      <c r="I35" s="18"/>
      <c r="J35" s="18"/>
      <c r="K35" s="18"/>
      <c r="L35" s="19"/>
      <c r="M35" s="12" t="s">
        <v>247</v>
      </c>
    </row>
    <row r="36" spans="1:13" ht="200.1" customHeight="1">
      <c r="A36" s="11">
        <v>33</v>
      </c>
      <c r="B36" s="12" t="s">
        <v>248</v>
      </c>
      <c r="C36" s="13" t="s">
        <v>58</v>
      </c>
      <c r="D36" s="11" t="s">
        <v>59</v>
      </c>
      <c r="E36" s="14" t="s">
        <v>249</v>
      </c>
      <c r="F36" s="15" t="s">
        <v>250</v>
      </c>
      <c r="G36" s="16" t="s">
        <v>251</v>
      </c>
      <c r="H36" s="17" t="s">
        <v>252</v>
      </c>
      <c r="I36" s="18"/>
      <c r="J36" s="18"/>
      <c r="K36" s="18"/>
      <c r="L36" s="19"/>
      <c r="M36" s="12" t="s">
        <v>253</v>
      </c>
    </row>
    <row r="37" spans="1:13" ht="200.1" customHeight="1">
      <c r="A37" s="11">
        <v>34</v>
      </c>
      <c r="B37" s="12" t="s">
        <v>254</v>
      </c>
      <c r="C37" s="13" t="s">
        <v>58</v>
      </c>
      <c r="D37" s="11" t="s">
        <v>59</v>
      </c>
      <c r="E37" s="14" t="s">
        <v>255</v>
      </c>
      <c r="F37" s="15" t="s">
        <v>256</v>
      </c>
      <c r="G37" s="16" t="s">
        <v>257</v>
      </c>
      <c r="H37" s="17" t="s">
        <v>258</v>
      </c>
      <c r="I37" s="18"/>
      <c r="J37" s="18"/>
      <c r="K37" s="18"/>
      <c r="L37" s="19"/>
      <c r="M37" s="12" t="s">
        <v>259</v>
      </c>
    </row>
    <row r="38" spans="1:13" ht="200.1" customHeight="1">
      <c r="A38" s="11">
        <v>35</v>
      </c>
      <c r="B38" s="12" t="s">
        <v>260</v>
      </c>
      <c r="C38" s="13" t="s">
        <v>58</v>
      </c>
      <c r="D38" s="11" t="s">
        <v>59</v>
      </c>
      <c r="E38" s="14" t="s">
        <v>261</v>
      </c>
      <c r="F38" s="15" t="s">
        <v>262</v>
      </c>
      <c r="G38" s="16" t="s">
        <v>263</v>
      </c>
      <c r="H38" s="17" t="s">
        <v>264</v>
      </c>
      <c r="I38" s="18"/>
      <c r="J38" s="18"/>
      <c r="K38" s="18"/>
      <c r="L38" s="19"/>
      <c r="M38" s="12" t="s">
        <v>265</v>
      </c>
    </row>
    <row r="39" spans="1:13" ht="45" customHeight="1">
      <c r="A39" s="11">
        <v>36</v>
      </c>
      <c r="B39" s="12" t="s">
        <v>266</v>
      </c>
      <c r="C39" s="13" t="s">
        <v>58</v>
      </c>
      <c r="D39" s="11" t="s">
        <v>59</v>
      </c>
      <c r="E39" s="14" t="s">
        <v>267</v>
      </c>
      <c r="F39" s="15" t="s">
        <v>97</v>
      </c>
      <c r="G39" s="16" t="s">
        <v>268</v>
      </c>
      <c r="H39" s="17" t="s">
        <v>269</v>
      </c>
      <c r="I39" s="18"/>
      <c r="J39" s="18"/>
      <c r="K39" s="18"/>
      <c r="L39" s="19"/>
      <c r="M39" s="12" t="s">
        <v>270</v>
      </c>
    </row>
    <row r="40" spans="1:13" ht="200.1" customHeight="1">
      <c r="A40" s="11">
        <v>37</v>
      </c>
      <c r="B40" s="12" t="s">
        <v>271</v>
      </c>
      <c r="C40" s="13" t="s">
        <v>58</v>
      </c>
      <c r="D40" s="11" t="s">
        <v>59</v>
      </c>
      <c r="E40" s="14" t="s">
        <v>272</v>
      </c>
      <c r="F40" s="15" t="s">
        <v>273</v>
      </c>
      <c r="G40" s="16" t="s">
        <v>274</v>
      </c>
      <c r="H40" s="17" t="s">
        <v>275</v>
      </c>
      <c r="I40" s="18"/>
      <c r="J40" s="18"/>
      <c r="K40" s="18"/>
      <c r="L40" s="19"/>
      <c r="M40" s="12" t="s">
        <v>276</v>
      </c>
    </row>
    <row r="41" spans="1:13" ht="200.1" customHeight="1">
      <c r="A41" s="11">
        <v>38</v>
      </c>
      <c r="B41" s="12" t="s">
        <v>277</v>
      </c>
      <c r="C41" s="13" t="s">
        <v>58</v>
      </c>
      <c r="D41" s="11" t="s">
        <v>59</v>
      </c>
      <c r="E41" s="14" t="s">
        <v>278</v>
      </c>
      <c r="F41" s="15" t="s">
        <v>279</v>
      </c>
      <c r="G41" s="16" t="s">
        <v>280</v>
      </c>
      <c r="H41" s="17" t="s">
        <v>281</v>
      </c>
      <c r="I41" s="18"/>
      <c r="J41" s="18"/>
      <c r="K41" s="18"/>
      <c r="L41" s="19"/>
      <c r="M41" s="12" t="s">
        <v>282</v>
      </c>
    </row>
    <row r="42" spans="1:13" ht="200.1" customHeight="1">
      <c r="A42" s="20">
        <v>39</v>
      </c>
      <c r="B42" s="21" t="s">
        <v>283</v>
      </c>
      <c r="C42" s="22" t="s">
        <v>284</v>
      </c>
      <c r="D42" s="20" t="s">
        <v>285</v>
      </c>
      <c r="E42" s="14" t="s">
        <v>286</v>
      </c>
      <c r="F42" s="23" t="s">
        <v>287</v>
      </c>
      <c r="G42" s="16" t="s">
        <v>288</v>
      </c>
      <c r="H42" s="24" t="s">
        <v>289</v>
      </c>
      <c r="I42" s="25"/>
      <c r="J42" s="25"/>
      <c r="K42" s="25"/>
      <c r="L42" s="19"/>
      <c r="M42" s="21" t="s">
        <v>290</v>
      </c>
    </row>
    <row r="43" spans="1:13" ht="200.1" customHeight="1">
      <c r="A43" s="26">
        <v>40</v>
      </c>
      <c r="B43" s="27" t="s">
        <v>291</v>
      </c>
      <c r="C43" s="28" t="s">
        <v>292</v>
      </c>
      <c r="D43" s="26" t="s">
        <v>293</v>
      </c>
      <c r="E43" s="14" t="s">
        <v>294</v>
      </c>
      <c r="F43" s="29" t="s">
        <v>295</v>
      </c>
      <c r="G43" s="16" t="s">
        <v>296</v>
      </c>
      <c r="H43" s="24" t="s">
        <v>297</v>
      </c>
      <c r="I43" s="30"/>
      <c r="J43" s="30"/>
      <c r="K43" s="30"/>
      <c r="L43" s="19"/>
      <c r="M43" s="27" t="s">
        <v>298</v>
      </c>
    </row>
    <row r="44" spans="1:13" ht="200.1" customHeight="1">
      <c r="A44" s="26">
        <v>41</v>
      </c>
      <c r="B44" s="27" t="s">
        <v>299</v>
      </c>
      <c r="C44" s="28" t="s">
        <v>292</v>
      </c>
      <c r="D44" s="26" t="s">
        <v>293</v>
      </c>
      <c r="E44" s="14" t="s">
        <v>300</v>
      </c>
      <c r="F44" s="29" t="s">
        <v>301</v>
      </c>
      <c r="G44" s="16" t="s">
        <v>302</v>
      </c>
      <c r="H44" s="31" t="s">
        <v>303</v>
      </c>
      <c r="I44" s="30"/>
      <c r="J44" s="30"/>
      <c r="K44" s="30"/>
      <c r="L44" s="19"/>
      <c r="M44" s="27" t="s">
        <v>304</v>
      </c>
    </row>
    <row r="45" spans="1:13" ht="200.1" customHeight="1">
      <c r="A45" s="26">
        <v>42</v>
      </c>
      <c r="B45" s="27" t="s">
        <v>305</v>
      </c>
      <c r="C45" s="28" t="s">
        <v>292</v>
      </c>
      <c r="D45" s="26" t="s">
        <v>293</v>
      </c>
      <c r="E45" s="14" t="s">
        <v>306</v>
      </c>
      <c r="F45" s="29" t="s">
        <v>307</v>
      </c>
      <c r="G45" s="16" t="s">
        <v>308</v>
      </c>
      <c r="H45" s="24" t="s">
        <v>309</v>
      </c>
      <c r="I45" s="30"/>
      <c r="J45" s="30"/>
      <c r="K45" s="30"/>
      <c r="L45" s="19"/>
      <c r="M45" s="27" t="s">
        <v>310</v>
      </c>
    </row>
    <row r="46" spans="1:13" ht="200.1" customHeight="1">
      <c r="A46" s="26">
        <v>43</v>
      </c>
      <c r="B46" s="27" t="s">
        <v>311</v>
      </c>
      <c r="C46" s="28" t="s">
        <v>292</v>
      </c>
      <c r="D46" s="26" t="s">
        <v>293</v>
      </c>
      <c r="E46" s="14" t="s">
        <v>312</v>
      </c>
      <c r="F46" s="29" t="s">
        <v>313</v>
      </c>
      <c r="G46" s="16" t="s">
        <v>314</v>
      </c>
      <c r="H46" s="24" t="s">
        <v>315</v>
      </c>
      <c r="I46" s="30"/>
      <c r="J46" s="30"/>
      <c r="K46" s="30"/>
      <c r="L46" s="19"/>
      <c r="M46" s="27" t="s">
        <v>316</v>
      </c>
    </row>
    <row r="47" spans="1:13" ht="200.1" customHeight="1">
      <c r="A47" s="26">
        <v>44</v>
      </c>
      <c r="B47" s="27" t="s">
        <v>317</v>
      </c>
      <c r="C47" s="28" t="s">
        <v>292</v>
      </c>
      <c r="D47" s="26" t="s">
        <v>293</v>
      </c>
      <c r="E47" s="14" t="s">
        <v>318</v>
      </c>
      <c r="F47" s="29" t="s">
        <v>319</v>
      </c>
      <c r="G47" s="16" t="s">
        <v>320</v>
      </c>
      <c r="H47" s="31" t="s">
        <v>321</v>
      </c>
      <c r="I47" s="30"/>
      <c r="J47" s="30"/>
      <c r="K47" s="30"/>
      <c r="L47" s="19"/>
      <c r="M47" s="27" t="s">
        <v>322</v>
      </c>
    </row>
    <row r="48" spans="1:13" ht="200.1" customHeight="1">
      <c r="A48" s="26">
        <v>45</v>
      </c>
      <c r="B48" s="27" t="s">
        <v>323</v>
      </c>
      <c r="C48" s="28" t="s">
        <v>292</v>
      </c>
      <c r="D48" s="26" t="s">
        <v>293</v>
      </c>
      <c r="E48" s="14" t="s">
        <v>324</v>
      </c>
      <c r="F48" s="29" t="s">
        <v>325</v>
      </c>
      <c r="G48" s="16" t="s">
        <v>326</v>
      </c>
      <c r="H48" s="24" t="s">
        <v>315</v>
      </c>
      <c r="I48" s="30"/>
      <c r="J48" s="30"/>
      <c r="K48" s="30"/>
      <c r="L48" s="19"/>
      <c r="M48" s="27" t="s">
        <v>327</v>
      </c>
    </row>
    <row r="49" spans="1:13" ht="200.1" customHeight="1">
      <c r="A49" s="26">
        <v>46</v>
      </c>
      <c r="B49" s="27" t="s">
        <v>328</v>
      </c>
      <c r="C49" s="28" t="s">
        <v>292</v>
      </c>
      <c r="D49" s="26" t="s">
        <v>293</v>
      </c>
      <c r="E49" s="14" t="s">
        <v>329</v>
      </c>
      <c r="F49" s="29" t="s">
        <v>330</v>
      </c>
      <c r="G49" s="16" t="s">
        <v>331</v>
      </c>
      <c r="H49" s="31" t="s">
        <v>332</v>
      </c>
      <c r="I49" s="30"/>
      <c r="J49" s="30"/>
      <c r="K49" s="30"/>
      <c r="L49" s="19"/>
      <c r="M49" s="27" t="s">
        <v>333</v>
      </c>
    </row>
    <row r="50" spans="1:13" ht="200.1" customHeight="1">
      <c r="A50" s="26">
        <v>47</v>
      </c>
      <c r="B50" s="27" t="s">
        <v>334</v>
      </c>
      <c r="C50" s="28" t="s">
        <v>292</v>
      </c>
      <c r="D50" s="26" t="s">
        <v>293</v>
      </c>
      <c r="E50" s="14" t="s">
        <v>335</v>
      </c>
      <c r="F50" s="29" t="s">
        <v>336</v>
      </c>
      <c r="G50" s="16" t="s">
        <v>337</v>
      </c>
      <c r="H50" s="31" t="s">
        <v>338</v>
      </c>
      <c r="I50" s="30"/>
      <c r="J50" s="30"/>
      <c r="K50" s="30"/>
      <c r="L50" s="19"/>
      <c r="M50" s="27" t="s">
        <v>339</v>
      </c>
    </row>
    <row r="51" spans="1:13" ht="200.1" customHeight="1">
      <c r="A51" s="26">
        <v>48</v>
      </c>
      <c r="B51" s="27" t="s">
        <v>340</v>
      </c>
      <c r="C51" s="28" t="s">
        <v>292</v>
      </c>
      <c r="D51" s="26" t="s">
        <v>293</v>
      </c>
      <c r="E51" s="14" t="s">
        <v>341</v>
      </c>
      <c r="F51" s="29" t="s">
        <v>342</v>
      </c>
      <c r="G51" s="16" t="s">
        <v>343</v>
      </c>
      <c r="H51" s="31" t="s">
        <v>321</v>
      </c>
      <c r="I51" s="30"/>
      <c r="J51" s="30"/>
      <c r="K51" s="30"/>
      <c r="L51" s="19"/>
      <c r="M51" s="27" t="s">
        <v>344</v>
      </c>
    </row>
    <row r="52" spans="1:13" ht="200.1" customHeight="1">
      <c r="A52" s="26">
        <v>49</v>
      </c>
      <c r="B52" s="27" t="s">
        <v>345</v>
      </c>
      <c r="C52" s="28" t="s">
        <v>292</v>
      </c>
      <c r="D52" s="26" t="s">
        <v>293</v>
      </c>
      <c r="E52" s="14" t="s">
        <v>346</v>
      </c>
      <c r="F52" s="29" t="s">
        <v>347</v>
      </c>
      <c r="G52" s="16" t="s">
        <v>348</v>
      </c>
      <c r="H52" s="31" t="s">
        <v>338</v>
      </c>
      <c r="I52" s="30"/>
      <c r="J52" s="30"/>
      <c r="K52" s="30"/>
      <c r="L52" s="19"/>
      <c r="M52" s="27" t="s">
        <v>349</v>
      </c>
    </row>
    <row r="53" spans="1:13" ht="200.1" customHeight="1">
      <c r="A53" s="26">
        <v>50</v>
      </c>
      <c r="B53" s="27" t="s">
        <v>350</v>
      </c>
      <c r="C53" s="28" t="s">
        <v>292</v>
      </c>
      <c r="D53" s="26" t="s">
        <v>293</v>
      </c>
      <c r="E53" s="14" t="s">
        <v>351</v>
      </c>
      <c r="F53" s="29" t="s">
        <v>352</v>
      </c>
      <c r="G53" s="16" t="s">
        <v>353</v>
      </c>
      <c r="H53" s="24" t="s">
        <v>315</v>
      </c>
      <c r="I53" s="30"/>
      <c r="J53" s="30"/>
      <c r="K53" s="30"/>
      <c r="L53" s="19"/>
      <c r="M53" s="27" t="s">
        <v>354</v>
      </c>
    </row>
    <row r="54" spans="1:13" ht="200.1" customHeight="1">
      <c r="A54" s="26">
        <v>51</v>
      </c>
      <c r="B54" s="27" t="s">
        <v>355</v>
      </c>
      <c r="C54" s="28" t="s">
        <v>292</v>
      </c>
      <c r="D54" s="26" t="s">
        <v>293</v>
      </c>
      <c r="E54" s="14" t="s">
        <v>356</v>
      </c>
      <c r="F54" s="29" t="s">
        <v>357</v>
      </c>
      <c r="G54" s="16" t="s">
        <v>358</v>
      </c>
      <c r="H54" s="31" t="s">
        <v>359</v>
      </c>
      <c r="I54" s="30"/>
      <c r="J54" s="30"/>
      <c r="K54" s="30"/>
      <c r="L54" s="19"/>
      <c r="M54" s="27" t="s">
        <v>360</v>
      </c>
    </row>
    <row r="55" spans="1:13" ht="200.1" customHeight="1">
      <c r="A55" s="26">
        <v>52</v>
      </c>
      <c r="B55" s="27" t="s">
        <v>361</v>
      </c>
      <c r="C55" s="28" t="s">
        <v>292</v>
      </c>
      <c r="D55" s="26" t="s">
        <v>293</v>
      </c>
      <c r="E55" s="14" t="s">
        <v>362</v>
      </c>
      <c r="F55" s="29" t="s">
        <v>363</v>
      </c>
      <c r="G55" s="16" t="s">
        <v>364</v>
      </c>
      <c r="H55" s="31" t="s">
        <v>365</v>
      </c>
      <c r="I55" s="30"/>
      <c r="J55" s="30"/>
      <c r="K55" s="30"/>
      <c r="L55" s="19"/>
      <c r="M55" s="27" t="s">
        <v>366</v>
      </c>
    </row>
    <row r="56" spans="1:13" ht="200.1" customHeight="1">
      <c r="A56" s="26">
        <v>53</v>
      </c>
      <c r="B56" s="27" t="s">
        <v>367</v>
      </c>
      <c r="C56" s="28" t="s">
        <v>292</v>
      </c>
      <c r="D56" s="26" t="s">
        <v>293</v>
      </c>
      <c r="E56" s="14" t="s">
        <v>368</v>
      </c>
      <c r="F56" s="29" t="s">
        <v>369</v>
      </c>
      <c r="G56" s="16" t="s">
        <v>370</v>
      </c>
      <c r="H56" s="31" t="s">
        <v>338</v>
      </c>
      <c r="I56" s="30"/>
      <c r="J56" s="30"/>
      <c r="K56" s="30"/>
      <c r="L56" s="19"/>
      <c r="M56" s="27" t="s">
        <v>371</v>
      </c>
    </row>
    <row r="57" spans="1:13" ht="200.1" customHeight="1">
      <c r="A57" s="26">
        <v>54</v>
      </c>
      <c r="B57" s="27" t="s">
        <v>372</v>
      </c>
      <c r="C57" s="28" t="s">
        <v>292</v>
      </c>
      <c r="D57" s="26" t="s">
        <v>293</v>
      </c>
      <c r="E57" s="14" t="s">
        <v>373</v>
      </c>
      <c r="F57" s="29" t="s">
        <v>374</v>
      </c>
      <c r="G57" s="16" t="s">
        <v>375</v>
      </c>
      <c r="H57" s="24" t="s">
        <v>376</v>
      </c>
      <c r="I57" s="30"/>
      <c r="J57" s="30"/>
      <c r="K57" s="30"/>
      <c r="L57" s="19"/>
      <c r="M57" s="27" t="s">
        <v>377</v>
      </c>
    </row>
    <row r="58" spans="1:13" ht="200.1" customHeight="1">
      <c r="A58" s="26">
        <v>55</v>
      </c>
      <c r="B58" s="27" t="s">
        <v>378</v>
      </c>
      <c r="C58" s="28" t="s">
        <v>292</v>
      </c>
      <c r="D58" s="26" t="s">
        <v>293</v>
      </c>
      <c r="E58" s="14" t="s">
        <v>379</v>
      </c>
      <c r="F58" s="29" t="s">
        <v>380</v>
      </c>
      <c r="G58" s="16" t="s">
        <v>381</v>
      </c>
      <c r="H58" s="24" t="s">
        <v>382</v>
      </c>
      <c r="I58" s="30"/>
      <c r="J58" s="30"/>
      <c r="K58" s="30"/>
      <c r="L58" s="19"/>
      <c r="M58" s="27" t="s">
        <v>383</v>
      </c>
    </row>
    <row r="59" spans="1:13" ht="200.1" customHeight="1">
      <c r="A59" s="26">
        <v>56</v>
      </c>
      <c r="B59" s="27" t="s">
        <v>384</v>
      </c>
      <c r="C59" s="28" t="s">
        <v>292</v>
      </c>
      <c r="D59" s="26" t="s">
        <v>293</v>
      </c>
      <c r="E59" s="14" t="s">
        <v>385</v>
      </c>
      <c r="F59" s="29" t="s">
        <v>386</v>
      </c>
      <c r="G59" s="16" t="s">
        <v>387</v>
      </c>
      <c r="H59" s="24" t="s">
        <v>388</v>
      </c>
      <c r="I59" s="30"/>
      <c r="J59" s="30"/>
      <c r="K59" s="30"/>
      <c r="L59" s="19"/>
      <c r="M59" s="27" t="s">
        <v>389</v>
      </c>
    </row>
    <row r="60" spans="1:13" ht="200.1" customHeight="1">
      <c r="A60" s="26">
        <v>57</v>
      </c>
      <c r="B60" s="27" t="s">
        <v>390</v>
      </c>
      <c r="C60" s="28" t="s">
        <v>292</v>
      </c>
      <c r="D60" s="26" t="s">
        <v>293</v>
      </c>
      <c r="E60" s="14" t="s">
        <v>391</v>
      </c>
      <c r="F60" s="29" t="s">
        <v>392</v>
      </c>
      <c r="G60" s="16" t="s">
        <v>393</v>
      </c>
      <c r="H60" s="24" t="s">
        <v>388</v>
      </c>
      <c r="I60" s="30"/>
      <c r="J60" s="30"/>
      <c r="K60" s="30"/>
      <c r="L60" s="19"/>
      <c r="M60" s="27" t="s">
        <v>394</v>
      </c>
    </row>
    <row r="61" spans="1:13" ht="200.1" customHeight="1">
      <c r="A61" s="26">
        <v>58</v>
      </c>
      <c r="B61" s="27" t="s">
        <v>395</v>
      </c>
      <c r="C61" s="28" t="s">
        <v>292</v>
      </c>
      <c r="D61" s="26" t="s">
        <v>293</v>
      </c>
      <c r="E61" s="14" t="s">
        <v>396</v>
      </c>
      <c r="F61" s="29" t="s">
        <v>397</v>
      </c>
      <c r="G61" s="16" t="s">
        <v>398</v>
      </c>
      <c r="H61" s="31" t="s">
        <v>321</v>
      </c>
      <c r="I61" s="30"/>
      <c r="J61" s="30"/>
      <c r="K61" s="30"/>
      <c r="L61" s="19"/>
      <c r="M61" s="27" t="s">
        <v>399</v>
      </c>
    </row>
    <row r="62" spans="1:13" ht="200.1" customHeight="1">
      <c r="A62" s="26">
        <v>59</v>
      </c>
      <c r="B62" s="27" t="s">
        <v>400</v>
      </c>
      <c r="C62" s="28" t="s">
        <v>292</v>
      </c>
      <c r="D62" s="26" t="s">
        <v>293</v>
      </c>
      <c r="E62" s="14" t="s">
        <v>401</v>
      </c>
      <c r="F62" s="29" t="s">
        <v>402</v>
      </c>
      <c r="G62" s="16" t="s">
        <v>403</v>
      </c>
      <c r="H62" s="24" t="s">
        <v>315</v>
      </c>
      <c r="I62" s="30"/>
      <c r="J62" s="30"/>
      <c r="K62" s="30"/>
      <c r="L62" s="19"/>
      <c r="M62" s="27" t="s">
        <v>404</v>
      </c>
    </row>
    <row r="63" spans="1:13" ht="200.1" customHeight="1">
      <c r="A63" s="26">
        <v>60</v>
      </c>
      <c r="B63" s="27" t="s">
        <v>405</v>
      </c>
      <c r="C63" s="28" t="s">
        <v>292</v>
      </c>
      <c r="D63" s="26" t="s">
        <v>293</v>
      </c>
      <c r="E63" s="14" t="s">
        <v>406</v>
      </c>
      <c r="F63" s="29" t="s">
        <v>407</v>
      </c>
      <c r="G63" s="16" t="s">
        <v>408</v>
      </c>
      <c r="H63" s="24" t="s">
        <v>376</v>
      </c>
      <c r="I63" s="30"/>
      <c r="J63" s="30"/>
      <c r="K63" s="30"/>
      <c r="L63" s="19"/>
      <c r="M63" s="27" t="s">
        <v>409</v>
      </c>
    </row>
    <row r="64" spans="1:13" ht="200.1" customHeight="1">
      <c r="A64" s="26">
        <v>61</v>
      </c>
      <c r="B64" s="27" t="s">
        <v>410</v>
      </c>
      <c r="C64" s="28" t="s">
        <v>292</v>
      </c>
      <c r="D64" s="26" t="s">
        <v>293</v>
      </c>
      <c r="E64" s="14" t="s">
        <v>411</v>
      </c>
      <c r="F64" s="29" t="s">
        <v>412</v>
      </c>
      <c r="G64" s="16" t="s">
        <v>413</v>
      </c>
      <c r="H64" s="24" t="s">
        <v>414</v>
      </c>
      <c r="I64" s="30"/>
      <c r="J64" s="30"/>
      <c r="K64" s="30"/>
      <c r="L64" s="19"/>
      <c r="M64" s="27" t="s">
        <v>415</v>
      </c>
    </row>
    <row r="65" spans="1:13" ht="200.1" customHeight="1">
      <c r="A65" s="26">
        <v>62</v>
      </c>
      <c r="B65" s="27" t="s">
        <v>416</v>
      </c>
      <c r="C65" s="28" t="s">
        <v>292</v>
      </c>
      <c r="D65" s="26" t="s">
        <v>293</v>
      </c>
      <c r="E65" s="14" t="s">
        <v>417</v>
      </c>
      <c r="F65" s="29" t="s">
        <v>418</v>
      </c>
      <c r="G65" s="16" t="s">
        <v>419</v>
      </c>
      <c r="H65" s="24" t="s">
        <v>388</v>
      </c>
      <c r="I65" s="30"/>
      <c r="J65" s="30"/>
      <c r="K65" s="30"/>
      <c r="L65" s="19"/>
      <c r="M65" s="27" t="s">
        <v>420</v>
      </c>
    </row>
    <row r="66" spans="1:13" ht="200.1" customHeight="1">
      <c r="A66" s="26">
        <v>63</v>
      </c>
      <c r="B66" s="27" t="s">
        <v>421</v>
      </c>
      <c r="C66" s="28" t="s">
        <v>292</v>
      </c>
      <c r="D66" s="26" t="s">
        <v>293</v>
      </c>
      <c r="E66" s="14" t="s">
        <v>422</v>
      </c>
      <c r="F66" s="29" t="s">
        <v>423</v>
      </c>
      <c r="G66" s="16" t="s">
        <v>424</v>
      </c>
      <c r="H66" s="24" t="s">
        <v>315</v>
      </c>
      <c r="I66" s="30"/>
      <c r="J66" s="30"/>
      <c r="K66" s="30"/>
      <c r="L66" s="19"/>
      <c r="M66" s="27" t="s">
        <v>425</v>
      </c>
    </row>
    <row r="67" spans="1:13" ht="200.1" customHeight="1">
      <c r="A67" s="26">
        <v>64</v>
      </c>
      <c r="B67" s="27" t="s">
        <v>426</v>
      </c>
      <c r="C67" s="28" t="s">
        <v>292</v>
      </c>
      <c r="D67" s="26" t="s">
        <v>293</v>
      </c>
      <c r="E67" s="14" t="s">
        <v>427</v>
      </c>
      <c r="F67" s="29" t="s">
        <v>428</v>
      </c>
      <c r="G67" s="16" t="s">
        <v>429</v>
      </c>
      <c r="H67" s="24" t="s">
        <v>388</v>
      </c>
      <c r="I67" s="30"/>
      <c r="J67" s="30"/>
      <c r="K67" s="30"/>
      <c r="L67" s="19"/>
      <c r="M67" s="27" t="s">
        <v>430</v>
      </c>
    </row>
    <row r="68" spans="1:13" ht="200.1" customHeight="1">
      <c r="A68" s="26">
        <v>65</v>
      </c>
      <c r="B68" s="27" t="s">
        <v>431</v>
      </c>
      <c r="C68" s="28" t="s">
        <v>292</v>
      </c>
      <c r="D68" s="26" t="s">
        <v>293</v>
      </c>
      <c r="E68" s="14" t="s">
        <v>432</v>
      </c>
      <c r="F68" s="29" t="s">
        <v>433</v>
      </c>
      <c r="G68" s="16" t="s">
        <v>434</v>
      </c>
      <c r="H68" s="24" t="s">
        <v>315</v>
      </c>
      <c r="I68" s="30"/>
      <c r="J68" s="30"/>
      <c r="K68" s="30"/>
      <c r="L68" s="19"/>
      <c r="M68" s="27" t="s">
        <v>435</v>
      </c>
    </row>
    <row r="69" spans="1:13" ht="200.1" customHeight="1">
      <c r="A69" s="26">
        <v>66</v>
      </c>
      <c r="B69" s="27" t="s">
        <v>436</v>
      </c>
      <c r="C69" s="28" t="s">
        <v>292</v>
      </c>
      <c r="D69" s="26" t="s">
        <v>293</v>
      </c>
      <c r="E69" s="14" t="s">
        <v>437</v>
      </c>
      <c r="F69" s="29" t="s">
        <v>438</v>
      </c>
      <c r="G69" s="16" t="s">
        <v>439</v>
      </c>
      <c r="H69" s="24" t="s">
        <v>376</v>
      </c>
      <c r="I69" s="30"/>
      <c r="J69" s="30"/>
      <c r="K69" s="30"/>
      <c r="L69" s="19"/>
      <c r="M69" s="27" t="s">
        <v>440</v>
      </c>
    </row>
    <row r="70" spans="1:13" ht="200.1" customHeight="1">
      <c r="A70" s="26">
        <v>67</v>
      </c>
      <c r="B70" s="27" t="s">
        <v>441</v>
      </c>
      <c r="C70" s="28" t="s">
        <v>292</v>
      </c>
      <c r="D70" s="26" t="s">
        <v>293</v>
      </c>
      <c r="E70" s="14" t="s">
        <v>442</v>
      </c>
      <c r="F70" s="29" t="s">
        <v>443</v>
      </c>
      <c r="G70" s="16" t="s">
        <v>444</v>
      </c>
      <c r="H70" s="24" t="s">
        <v>445</v>
      </c>
      <c r="I70" s="30"/>
      <c r="J70" s="30"/>
      <c r="K70" s="30"/>
      <c r="L70" s="19"/>
      <c r="M70" s="27" t="s">
        <v>446</v>
      </c>
    </row>
    <row r="71" spans="1:13" ht="200.1" customHeight="1">
      <c r="A71" s="26">
        <v>68</v>
      </c>
      <c r="B71" s="27" t="s">
        <v>447</v>
      </c>
      <c r="C71" s="28" t="s">
        <v>292</v>
      </c>
      <c r="D71" s="26" t="s">
        <v>293</v>
      </c>
      <c r="E71" s="14" t="s">
        <v>448</v>
      </c>
      <c r="F71" s="29" t="s">
        <v>449</v>
      </c>
      <c r="G71" s="16" t="s">
        <v>450</v>
      </c>
      <c r="H71" s="24" t="s">
        <v>388</v>
      </c>
      <c r="I71" s="30"/>
      <c r="J71" s="30"/>
      <c r="K71" s="30"/>
      <c r="L71" s="19"/>
      <c r="M71" s="27" t="s">
        <v>451</v>
      </c>
    </row>
    <row r="72" spans="1:13" ht="200.1" customHeight="1">
      <c r="A72" s="26">
        <v>69</v>
      </c>
      <c r="B72" s="27" t="s">
        <v>452</v>
      </c>
      <c r="C72" s="28" t="s">
        <v>292</v>
      </c>
      <c r="D72" s="26" t="s">
        <v>293</v>
      </c>
      <c r="E72" s="14" t="s">
        <v>453</v>
      </c>
      <c r="F72" s="29" t="s">
        <v>454</v>
      </c>
      <c r="G72" s="16" t="s">
        <v>455</v>
      </c>
      <c r="H72" s="24" t="s">
        <v>315</v>
      </c>
      <c r="I72" s="30"/>
      <c r="J72" s="30"/>
      <c r="K72" s="30"/>
      <c r="L72" s="19"/>
      <c r="M72" s="27" t="s">
        <v>456</v>
      </c>
    </row>
    <row r="73" spans="1:13" ht="200.1" customHeight="1">
      <c r="A73" s="26">
        <v>70</v>
      </c>
      <c r="B73" s="27" t="s">
        <v>457</v>
      </c>
      <c r="C73" s="28" t="s">
        <v>292</v>
      </c>
      <c r="D73" s="26" t="s">
        <v>293</v>
      </c>
      <c r="E73" s="14" t="s">
        <v>458</v>
      </c>
      <c r="F73" s="29" t="s">
        <v>459</v>
      </c>
      <c r="G73" s="16" t="s">
        <v>460</v>
      </c>
      <c r="H73" s="24" t="s">
        <v>388</v>
      </c>
      <c r="I73" s="30"/>
      <c r="J73" s="30"/>
      <c r="K73" s="30"/>
      <c r="L73" s="19"/>
      <c r="M73" s="27" t="s">
        <v>461</v>
      </c>
    </row>
    <row r="74" spans="1:13" ht="200.1" customHeight="1">
      <c r="A74" s="26">
        <v>71</v>
      </c>
      <c r="B74" s="27" t="s">
        <v>462</v>
      </c>
      <c r="C74" s="28" t="s">
        <v>292</v>
      </c>
      <c r="D74" s="26" t="s">
        <v>293</v>
      </c>
      <c r="E74" s="14" t="s">
        <v>463</v>
      </c>
      <c r="F74" s="29" t="s">
        <v>464</v>
      </c>
      <c r="G74" s="16" t="s">
        <v>465</v>
      </c>
      <c r="H74" s="24" t="s">
        <v>388</v>
      </c>
      <c r="I74" s="30"/>
      <c r="J74" s="30"/>
      <c r="K74" s="30"/>
      <c r="L74" s="19"/>
      <c r="M74" s="27" t="s">
        <v>466</v>
      </c>
    </row>
    <row r="75" spans="1:13" ht="200.1" customHeight="1">
      <c r="A75" s="26">
        <v>72</v>
      </c>
      <c r="B75" s="27" t="s">
        <v>467</v>
      </c>
      <c r="C75" s="28" t="s">
        <v>292</v>
      </c>
      <c r="D75" s="26" t="s">
        <v>293</v>
      </c>
      <c r="E75" s="14" t="s">
        <v>468</v>
      </c>
      <c r="F75" s="29" t="s">
        <v>469</v>
      </c>
      <c r="G75" s="16" t="s">
        <v>470</v>
      </c>
      <c r="H75" s="24" t="s">
        <v>315</v>
      </c>
      <c r="I75" s="30"/>
      <c r="J75" s="30"/>
      <c r="K75" s="30"/>
      <c r="L75" s="19"/>
      <c r="M75" s="27" t="s">
        <v>471</v>
      </c>
    </row>
    <row r="76" spans="1:13" ht="200.1" customHeight="1">
      <c r="A76" s="26">
        <v>73</v>
      </c>
      <c r="B76" s="27" t="s">
        <v>472</v>
      </c>
      <c r="C76" s="28" t="s">
        <v>292</v>
      </c>
      <c r="D76" s="26" t="s">
        <v>293</v>
      </c>
      <c r="E76" s="14" t="s">
        <v>473</v>
      </c>
      <c r="F76" s="29" t="s">
        <v>474</v>
      </c>
      <c r="G76" s="16" t="s">
        <v>475</v>
      </c>
      <c r="H76" s="31" t="s">
        <v>476</v>
      </c>
      <c r="I76" s="30"/>
      <c r="J76" s="30"/>
      <c r="K76" s="30"/>
      <c r="L76" s="19"/>
      <c r="M76" s="27" t="s">
        <v>477</v>
      </c>
    </row>
    <row r="77" spans="1:13" ht="200.1" customHeight="1">
      <c r="A77" s="26">
        <v>74</v>
      </c>
      <c r="B77" s="27" t="s">
        <v>478</v>
      </c>
      <c r="C77" s="28" t="s">
        <v>292</v>
      </c>
      <c r="D77" s="26" t="s">
        <v>293</v>
      </c>
      <c r="E77" s="14" t="s">
        <v>479</v>
      </c>
      <c r="F77" s="29" t="s">
        <v>480</v>
      </c>
      <c r="G77" s="16" t="s">
        <v>481</v>
      </c>
      <c r="H77" s="24" t="s">
        <v>482</v>
      </c>
      <c r="I77" s="30"/>
      <c r="J77" s="30"/>
      <c r="K77" s="30"/>
      <c r="L77" s="19"/>
      <c r="M77" s="27" t="s">
        <v>483</v>
      </c>
    </row>
    <row r="78" spans="1:13" ht="200.1" customHeight="1">
      <c r="A78" s="26">
        <v>75</v>
      </c>
      <c r="B78" s="27" t="s">
        <v>484</v>
      </c>
      <c r="C78" s="28" t="s">
        <v>292</v>
      </c>
      <c r="D78" s="26" t="s">
        <v>293</v>
      </c>
      <c r="E78" s="14" t="s">
        <v>485</v>
      </c>
      <c r="F78" s="29" t="s">
        <v>486</v>
      </c>
      <c r="G78" s="16" t="s">
        <v>487</v>
      </c>
      <c r="H78" s="24" t="s">
        <v>488</v>
      </c>
      <c r="I78" s="30"/>
      <c r="J78" s="30"/>
      <c r="K78" s="30"/>
      <c r="L78" s="19"/>
      <c r="M78" s="27" t="s">
        <v>489</v>
      </c>
    </row>
    <row r="79" spans="1:13" ht="200.1" customHeight="1">
      <c r="A79" s="26">
        <v>76</v>
      </c>
      <c r="B79" s="27" t="s">
        <v>490</v>
      </c>
      <c r="C79" s="28" t="s">
        <v>292</v>
      </c>
      <c r="D79" s="26" t="s">
        <v>293</v>
      </c>
      <c r="E79" s="14" t="s">
        <v>491</v>
      </c>
      <c r="F79" s="29" t="s">
        <v>492</v>
      </c>
      <c r="G79" s="16" t="s">
        <v>493</v>
      </c>
      <c r="H79" s="24" t="s">
        <v>494</v>
      </c>
      <c r="I79" s="30"/>
      <c r="J79" s="30"/>
      <c r="K79" s="30"/>
      <c r="L79" s="19"/>
      <c r="M79" s="27" t="s">
        <v>495</v>
      </c>
    </row>
    <row r="80" spans="1:13" ht="200.1" customHeight="1">
      <c r="A80" s="26">
        <v>77</v>
      </c>
      <c r="B80" s="27" t="s">
        <v>496</v>
      </c>
      <c r="C80" s="28" t="s">
        <v>292</v>
      </c>
      <c r="D80" s="26" t="s">
        <v>293</v>
      </c>
      <c r="E80" s="14" t="s">
        <v>497</v>
      </c>
      <c r="F80" s="29" t="s">
        <v>498</v>
      </c>
      <c r="G80" s="16" t="s">
        <v>499</v>
      </c>
      <c r="H80" s="24" t="s">
        <v>500</v>
      </c>
      <c r="I80" s="30"/>
      <c r="J80" s="30"/>
      <c r="K80" s="30"/>
      <c r="L80" s="19"/>
      <c r="M80" s="27" t="s">
        <v>501</v>
      </c>
    </row>
    <row r="81" spans="1:13" ht="200.1" customHeight="1">
      <c r="A81" s="26">
        <v>78</v>
      </c>
      <c r="B81" s="27" t="s">
        <v>502</v>
      </c>
      <c r="C81" s="28" t="s">
        <v>292</v>
      </c>
      <c r="D81" s="26" t="s">
        <v>293</v>
      </c>
      <c r="E81" s="14" t="s">
        <v>503</v>
      </c>
      <c r="F81" s="29" t="s">
        <v>504</v>
      </c>
      <c r="G81" s="16" t="s">
        <v>505</v>
      </c>
      <c r="H81" s="24" t="s">
        <v>506</v>
      </c>
      <c r="I81" s="30"/>
      <c r="J81" s="30"/>
      <c r="K81" s="30"/>
      <c r="L81" s="19"/>
      <c r="M81" s="27" t="s">
        <v>507</v>
      </c>
    </row>
    <row r="82" spans="1:13" ht="200.1" customHeight="1">
      <c r="A82" s="26">
        <v>79</v>
      </c>
      <c r="B82" s="27" t="s">
        <v>508</v>
      </c>
      <c r="C82" s="28" t="s">
        <v>292</v>
      </c>
      <c r="D82" s="26" t="s">
        <v>293</v>
      </c>
      <c r="E82" s="14" t="s">
        <v>509</v>
      </c>
      <c r="F82" s="29" t="s">
        <v>510</v>
      </c>
      <c r="G82" s="16" t="s">
        <v>511</v>
      </c>
      <c r="H82" s="24" t="s">
        <v>512</v>
      </c>
      <c r="I82" s="30"/>
      <c r="J82" s="30"/>
      <c r="K82" s="30"/>
      <c r="L82" s="19"/>
      <c r="M82" s="27" t="s">
        <v>513</v>
      </c>
    </row>
    <row r="83" spans="1:13" ht="200.1" customHeight="1">
      <c r="A83" s="26">
        <v>80</v>
      </c>
      <c r="B83" s="27" t="s">
        <v>514</v>
      </c>
      <c r="C83" s="28" t="s">
        <v>292</v>
      </c>
      <c r="D83" s="26" t="s">
        <v>293</v>
      </c>
      <c r="E83" s="14" t="s">
        <v>515</v>
      </c>
      <c r="F83" s="29" t="s">
        <v>516</v>
      </c>
      <c r="G83" s="16" t="s">
        <v>517</v>
      </c>
      <c r="H83" s="24" t="s">
        <v>518</v>
      </c>
      <c r="I83" s="30"/>
      <c r="J83" s="30"/>
      <c r="K83" s="30"/>
      <c r="L83" s="19"/>
      <c r="M83" s="27" t="s">
        <v>519</v>
      </c>
    </row>
    <row r="84" spans="1:13" ht="200.1" customHeight="1">
      <c r="A84" s="26">
        <v>81</v>
      </c>
      <c r="B84" s="27" t="s">
        <v>520</v>
      </c>
      <c r="C84" s="28" t="s">
        <v>292</v>
      </c>
      <c r="D84" s="26" t="s">
        <v>293</v>
      </c>
      <c r="E84" s="14" t="s">
        <v>521</v>
      </c>
      <c r="F84" s="29" t="s">
        <v>522</v>
      </c>
      <c r="G84" s="16" t="s">
        <v>523</v>
      </c>
      <c r="H84" s="24" t="s">
        <v>518</v>
      </c>
      <c r="I84" s="30"/>
      <c r="J84" s="30"/>
      <c r="K84" s="30"/>
      <c r="L84" s="19"/>
      <c r="M84" s="27" t="s">
        <v>524</v>
      </c>
    </row>
    <row r="85" spans="1:13" ht="200.1" customHeight="1">
      <c r="A85" s="26">
        <v>82</v>
      </c>
      <c r="B85" s="27" t="s">
        <v>525</v>
      </c>
      <c r="C85" s="28" t="s">
        <v>292</v>
      </c>
      <c r="D85" s="26" t="s">
        <v>293</v>
      </c>
      <c r="E85" s="14" t="s">
        <v>526</v>
      </c>
      <c r="F85" s="29" t="s">
        <v>527</v>
      </c>
      <c r="G85" s="16" t="s">
        <v>528</v>
      </c>
      <c r="H85" s="24" t="s">
        <v>529</v>
      </c>
      <c r="I85" s="30"/>
      <c r="J85" s="30"/>
      <c r="K85" s="30"/>
      <c r="L85" s="19"/>
      <c r="M85" s="27" t="s">
        <v>530</v>
      </c>
    </row>
    <row r="86" spans="1:13" ht="200.1" customHeight="1">
      <c r="A86" s="26">
        <v>83</v>
      </c>
      <c r="B86" s="27" t="s">
        <v>531</v>
      </c>
      <c r="C86" s="28" t="s">
        <v>292</v>
      </c>
      <c r="D86" s="26" t="s">
        <v>293</v>
      </c>
      <c r="E86" s="14" t="s">
        <v>532</v>
      </c>
      <c r="F86" s="29" t="s">
        <v>533</v>
      </c>
      <c r="G86" s="16" t="s">
        <v>534</v>
      </c>
      <c r="H86" s="31" t="s">
        <v>338</v>
      </c>
      <c r="I86" s="30"/>
      <c r="J86" s="30"/>
      <c r="K86" s="30"/>
      <c r="L86" s="19"/>
      <c r="M86" s="27" t="s">
        <v>535</v>
      </c>
    </row>
    <row r="87" spans="1:13" ht="200.1" customHeight="1">
      <c r="A87" s="26">
        <v>84</v>
      </c>
      <c r="B87" s="27" t="s">
        <v>536</v>
      </c>
      <c r="C87" s="28" t="s">
        <v>292</v>
      </c>
      <c r="D87" s="26" t="s">
        <v>293</v>
      </c>
      <c r="E87" s="14" t="s">
        <v>537</v>
      </c>
      <c r="F87" s="29" t="s">
        <v>538</v>
      </c>
      <c r="G87" s="16" t="s">
        <v>539</v>
      </c>
      <c r="H87" s="24" t="s">
        <v>529</v>
      </c>
      <c r="I87" s="30"/>
      <c r="J87" s="30"/>
      <c r="K87" s="30"/>
      <c r="L87" s="19"/>
      <c r="M87" s="27" t="s">
        <v>540</v>
      </c>
    </row>
    <row r="88" spans="1:13" ht="200.1" customHeight="1">
      <c r="A88" s="26">
        <v>85</v>
      </c>
      <c r="B88" s="27" t="s">
        <v>541</v>
      </c>
      <c r="C88" s="28" t="s">
        <v>292</v>
      </c>
      <c r="D88" s="26" t="s">
        <v>293</v>
      </c>
      <c r="E88" s="14" t="s">
        <v>542</v>
      </c>
      <c r="F88" s="29" t="s">
        <v>543</v>
      </c>
      <c r="G88" s="16" t="s">
        <v>544</v>
      </c>
      <c r="H88" s="24" t="s">
        <v>388</v>
      </c>
      <c r="I88" s="30"/>
      <c r="J88" s="30"/>
      <c r="K88" s="30"/>
      <c r="L88" s="19"/>
      <c r="M88" s="27" t="s">
        <v>545</v>
      </c>
    </row>
    <row r="89" spans="1:13" ht="200.1" customHeight="1">
      <c r="A89" s="26">
        <v>86</v>
      </c>
      <c r="B89" s="27" t="s">
        <v>546</v>
      </c>
      <c r="C89" s="28" t="s">
        <v>292</v>
      </c>
      <c r="D89" s="26" t="s">
        <v>293</v>
      </c>
      <c r="E89" s="14" t="s">
        <v>547</v>
      </c>
      <c r="F89" s="29" t="s">
        <v>548</v>
      </c>
      <c r="G89" s="16" t="s">
        <v>549</v>
      </c>
      <c r="H89" s="31" t="s">
        <v>550</v>
      </c>
      <c r="I89" s="30"/>
      <c r="J89" s="30"/>
      <c r="K89" s="30"/>
      <c r="L89" s="19"/>
      <c r="M89" s="27" t="s">
        <v>551</v>
      </c>
    </row>
    <row r="90" spans="1:13" ht="200.1" customHeight="1">
      <c r="A90" s="26">
        <v>87</v>
      </c>
      <c r="B90" s="27" t="s">
        <v>552</v>
      </c>
      <c r="C90" s="28" t="s">
        <v>292</v>
      </c>
      <c r="D90" s="26" t="s">
        <v>293</v>
      </c>
      <c r="E90" s="14" t="s">
        <v>553</v>
      </c>
      <c r="F90" s="29" t="s">
        <v>554</v>
      </c>
      <c r="G90" s="16" t="s">
        <v>555</v>
      </c>
      <c r="H90" s="31" t="s">
        <v>556</v>
      </c>
      <c r="I90" s="30"/>
      <c r="J90" s="30"/>
      <c r="K90" s="30"/>
      <c r="L90" s="19"/>
      <c r="M90" s="27" t="s">
        <v>557</v>
      </c>
    </row>
    <row r="91" spans="1:13" ht="200.1" customHeight="1">
      <c r="A91" s="26">
        <v>88</v>
      </c>
      <c r="B91" s="27" t="s">
        <v>558</v>
      </c>
      <c r="C91" s="28" t="s">
        <v>292</v>
      </c>
      <c r="D91" s="26" t="s">
        <v>293</v>
      </c>
      <c r="E91" s="14" t="s">
        <v>559</v>
      </c>
      <c r="F91" s="29" t="s">
        <v>560</v>
      </c>
      <c r="G91" s="16" t="s">
        <v>561</v>
      </c>
      <c r="H91" s="31" t="s">
        <v>556</v>
      </c>
      <c r="I91" s="30"/>
      <c r="J91" s="30"/>
      <c r="K91" s="30"/>
      <c r="L91" s="19"/>
      <c r="M91" s="27" t="s">
        <v>562</v>
      </c>
    </row>
    <row r="92" spans="1:13" ht="200.1" customHeight="1">
      <c r="A92" s="26">
        <v>89</v>
      </c>
      <c r="B92" s="27" t="s">
        <v>563</v>
      </c>
      <c r="C92" s="28" t="s">
        <v>292</v>
      </c>
      <c r="D92" s="26" t="s">
        <v>293</v>
      </c>
      <c r="E92" s="14" t="s">
        <v>564</v>
      </c>
      <c r="F92" s="29" t="s">
        <v>565</v>
      </c>
      <c r="G92" s="16" t="s">
        <v>566</v>
      </c>
      <c r="H92" s="24" t="s">
        <v>376</v>
      </c>
      <c r="I92" s="30"/>
      <c r="J92" s="30"/>
      <c r="K92" s="30"/>
      <c r="L92" s="19"/>
      <c r="M92" s="27" t="s">
        <v>567</v>
      </c>
    </row>
    <row r="93" spans="1:13" ht="200.1" customHeight="1">
      <c r="A93" s="26">
        <v>90</v>
      </c>
      <c r="B93" s="27" t="s">
        <v>568</v>
      </c>
      <c r="C93" s="28" t="s">
        <v>292</v>
      </c>
      <c r="D93" s="26" t="s">
        <v>293</v>
      </c>
      <c r="E93" s="14" t="s">
        <v>569</v>
      </c>
      <c r="F93" s="29" t="s">
        <v>570</v>
      </c>
      <c r="G93" s="16" t="s">
        <v>571</v>
      </c>
      <c r="H93" s="24" t="s">
        <v>414</v>
      </c>
      <c r="I93" s="30"/>
      <c r="J93" s="30"/>
      <c r="K93" s="30"/>
      <c r="L93" s="19"/>
      <c r="M93" s="27" t="s">
        <v>572</v>
      </c>
    </row>
    <row r="94" spans="1:13" ht="200.1" customHeight="1">
      <c r="A94" s="26">
        <v>91</v>
      </c>
      <c r="B94" s="27" t="s">
        <v>573</v>
      </c>
      <c r="C94" s="28" t="s">
        <v>292</v>
      </c>
      <c r="D94" s="26" t="s">
        <v>293</v>
      </c>
      <c r="E94" s="14" t="s">
        <v>574</v>
      </c>
      <c r="F94" s="29" t="s">
        <v>575</v>
      </c>
      <c r="G94" s="16" t="s">
        <v>576</v>
      </c>
      <c r="H94" s="31" t="s">
        <v>577</v>
      </c>
      <c r="I94" s="30"/>
      <c r="J94" s="30"/>
      <c r="K94" s="30"/>
      <c r="L94" s="19"/>
      <c r="M94" s="27" t="s">
        <v>578</v>
      </c>
    </row>
    <row r="95" spans="1:13" ht="200.1" customHeight="1">
      <c r="A95" s="26">
        <v>92</v>
      </c>
      <c r="B95" s="27" t="s">
        <v>579</v>
      </c>
      <c r="C95" s="28" t="s">
        <v>292</v>
      </c>
      <c r="D95" s="26" t="s">
        <v>293</v>
      </c>
      <c r="E95" s="14" t="s">
        <v>580</v>
      </c>
      <c r="F95" s="29" t="s">
        <v>581</v>
      </c>
      <c r="G95" s="16" t="s">
        <v>582</v>
      </c>
      <c r="H95" s="31" t="s">
        <v>583</v>
      </c>
      <c r="I95" s="30"/>
      <c r="J95" s="30"/>
      <c r="K95" s="30"/>
      <c r="L95" s="19"/>
      <c r="M95" s="27" t="s">
        <v>584</v>
      </c>
    </row>
    <row r="96" spans="1:13" ht="200.1" customHeight="1">
      <c r="A96" s="26">
        <v>93</v>
      </c>
      <c r="B96" s="27" t="s">
        <v>585</v>
      </c>
      <c r="C96" s="28" t="s">
        <v>292</v>
      </c>
      <c r="D96" s="26" t="s">
        <v>293</v>
      </c>
      <c r="E96" s="14" t="s">
        <v>586</v>
      </c>
      <c r="F96" s="29" t="s">
        <v>587</v>
      </c>
      <c r="G96" s="16" t="s">
        <v>588</v>
      </c>
      <c r="H96" s="24" t="s">
        <v>388</v>
      </c>
      <c r="I96" s="30"/>
      <c r="J96" s="30"/>
      <c r="K96" s="30"/>
      <c r="L96" s="19"/>
      <c r="M96" s="27" t="s">
        <v>589</v>
      </c>
    </row>
    <row r="97" spans="1:13" ht="200.1" customHeight="1">
      <c r="A97" s="26">
        <v>94</v>
      </c>
      <c r="B97" s="27" t="s">
        <v>590</v>
      </c>
      <c r="C97" s="28" t="s">
        <v>292</v>
      </c>
      <c r="D97" s="26" t="s">
        <v>293</v>
      </c>
      <c r="E97" s="14" t="s">
        <v>591</v>
      </c>
      <c r="F97" s="29" t="s">
        <v>592</v>
      </c>
      <c r="G97" s="16" t="s">
        <v>593</v>
      </c>
      <c r="H97" s="24" t="s">
        <v>376</v>
      </c>
      <c r="I97" s="30"/>
      <c r="J97" s="30"/>
      <c r="K97" s="30"/>
      <c r="L97" s="19"/>
      <c r="M97" s="27" t="s">
        <v>594</v>
      </c>
    </row>
    <row r="98" spans="1:13" ht="200.1" customHeight="1">
      <c r="A98" s="26">
        <v>95</v>
      </c>
      <c r="B98" s="27" t="s">
        <v>595</v>
      </c>
      <c r="C98" s="28" t="s">
        <v>292</v>
      </c>
      <c r="D98" s="26" t="s">
        <v>293</v>
      </c>
      <c r="E98" s="14" t="s">
        <v>596</v>
      </c>
      <c r="F98" s="29" t="s">
        <v>597</v>
      </c>
      <c r="G98" s="16" t="s">
        <v>598</v>
      </c>
      <c r="H98" s="24" t="s">
        <v>414</v>
      </c>
      <c r="I98" s="30"/>
      <c r="J98" s="30"/>
      <c r="K98" s="30"/>
      <c r="L98" s="19"/>
      <c r="M98" s="27" t="s">
        <v>599</v>
      </c>
    </row>
    <row r="99" spans="1:13" ht="200.1" customHeight="1">
      <c r="A99" s="26">
        <v>96</v>
      </c>
      <c r="B99" s="27" t="s">
        <v>600</v>
      </c>
      <c r="C99" s="28" t="s">
        <v>292</v>
      </c>
      <c r="D99" s="26" t="s">
        <v>293</v>
      </c>
      <c r="E99" s="14" t="s">
        <v>601</v>
      </c>
      <c r="F99" s="29" t="s">
        <v>602</v>
      </c>
      <c r="G99" s="16" t="s">
        <v>603</v>
      </c>
      <c r="H99" s="24" t="s">
        <v>529</v>
      </c>
      <c r="I99" s="30"/>
      <c r="J99" s="30"/>
      <c r="K99" s="30"/>
      <c r="L99" s="19"/>
      <c r="M99" s="27" t="s">
        <v>604</v>
      </c>
    </row>
    <row r="100" spans="1:13" ht="200.1" customHeight="1">
      <c r="A100" s="26">
        <v>97</v>
      </c>
      <c r="B100" s="27" t="s">
        <v>605</v>
      </c>
      <c r="C100" s="28" t="s">
        <v>292</v>
      </c>
      <c r="D100" s="26" t="s">
        <v>293</v>
      </c>
      <c r="E100" s="14" t="s">
        <v>606</v>
      </c>
      <c r="F100" s="29" t="s">
        <v>607</v>
      </c>
      <c r="G100" s="16" t="s">
        <v>608</v>
      </c>
      <c r="H100" s="24" t="s">
        <v>609</v>
      </c>
      <c r="I100" s="30"/>
      <c r="J100" s="30"/>
      <c r="K100" s="30"/>
      <c r="L100" s="19"/>
      <c r="M100" s="27" t="s">
        <v>610</v>
      </c>
    </row>
    <row r="101" spans="1:13" ht="200.1" customHeight="1">
      <c r="A101" s="26">
        <v>98</v>
      </c>
      <c r="B101" s="27" t="s">
        <v>611</v>
      </c>
      <c r="C101" s="28" t="s">
        <v>292</v>
      </c>
      <c r="D101" s="26" t="s">
        <v>293</v>
      </c>
      <c r="E101" s="14" t="s">
        <v>612</v>
      </c>
      <c r="F101" s="29" t="s">
        <v>613</v>
      </c>
      <c r="G101" s="16" t="s">
        <v>614</v>
      </c>
      <c r="H101" s="31" t="s">
        <v>550</v>
      </c>
      <c r="I101" s="30"/>
      <c r="J101" s="30"/>
      <c r="K101" s="30"/>
      <c r="L101" s="19"/>
      <c r="M101" s="27" t="s">
        <v>615</v>
      </c>
    </row>
    <row r="102" spans="1:13" ht="200.1" customHeight="1">
      <c r="A102" s="26">
        <v>99</v>
      </c>
      <c r="B102" s="27" t="s">
        <v>616</v>
      </c>
      <c r="C102" s="28" t="s">
        <v>292</v>
      </c>
      <c r="D102" s="26" t="s">
        <v>293</v>
      </c>
      <c r="E102" s="14" t="s">
        <v>617</v>
      </c>
      <c r="F102" s="29" t="s">
        <v>618</v>
      </c>
      <c r="G102" s="16" t="s">
        <v>619</v>
      </c>
      <c r="H102" s="31" t="s">
        <v>577</v>
      </c>
      <c r="I102" s="30"/>
      <c r="J102" s="30"/>
      <c r="K102" s="30"/>
      <c r="L102" s="19"/>
      <c r="M102" s="27" t="s">
        <v>620</v>
      </c>
    </row>
    <row r="103" spans="1:13" ht="200.1" customHeight="1">
      <c r="A103" s="26">
        <v>100</v>
      </c>
      <c r="B103" s="27" t="s">
        <v>621</v>
      </c>
      <c r="C103" s="28" t="s">
        <v>292</v>
      </c>
      <c r="D103" s="26" t="s">
        <v>293</v>
      </c>
      <c r="E103" s="14" t="s">
        <v>622</v>
      </c>
      <c r="F103" s="29" t="s">
        <v>623</v>
      </c>
      <c r="G103" s="16" t="s">
        <v>624</v>
      </c>
      <c r="H103" s="31" t="s">
        <v>625</v>
      </c>
      <c r="I103" s="30"/>
      <c r="J103" s="30"/>
      <c r="K103" s="30"/>
      <c r="L103" s="19"/>
      <c r="M103" s="27" t="s">
        <v>626</v>
      </c>
    </row>
    <row r="104" spans="1:13" ht="200.1" customHeight="1">
      <c r="A104" s="26">
        <v>101</v>
      </c>
      <c r="B104" s="27" t="s">
        <v>627</v>
      </c>
      <c r="C104" s="28" t="s">
        <v>292</v>
      </c>
      <c r="D104" s="26" t="s">
        <v>293</v>
      </c>
      <c r="E104" s="14" t="s">
        <v>628</v>
      </c>
      <c r="F104" s="29" t="s">
        <v>629</v>
      </c>
      <c r="G104" s="16" t="s">
        <v>630</v>
      </c>
      <c r="H104" s="31" t="s">
        <v>556</v>
      </c>
      <c r="I104" s="30"/>
      <c r="J104" s="30"/>
      <c r="K104" s="30"/>
      <c r="L104" s="19"/>
      <c r="M104" s="27" t="s">
        <v>631</v>
      </c>
    </row>
    <row r="105" spans="1:13" ht="200.1" customHeight="1">
      <c r="A105" s="26">
        <v>102</v>
      </c>
      <c r="B105" s="27" t="s">
        <v>632</v>
      </c>
      <c r="C105" s="28" t="s">
        <v>292</v>
      </c>
      <c r="D105" s="26" t="s">
        <v>293</v>
      </c>
      <c r="E105" s="14" t="s">
        <v>633</v>
      </c>
      <c r="F105" s="29" t="s">
        <v>634</v>
      </c>
      <c r="G105" s="16" t="s">
        <v>635</v>
      </c>
      <c r="H105" s="31" t="s">
        <v>636</v>
      </c>
      <c r="I105" s="30"/>
      <c r="J105" s="30"/>
      <c r="K105" s="30"/>
      <c r="L105" s="19"/>
      <c r="M105" s="27" t="s">
        <v>637</v>
      </c>
    </row>
    <row r="106" spans="1:13" ht="200.1" customHeight="1">
      <c r="A106" s="26">
        <v>103</v>
      </c>
      <c r="B106" s="27" t="s">
        <v>638</v>
      </c>
      <c r="C106" s="28" t="s">
        <v>292</v>
      </c>
      <c r="D106" s="26" t="s">
        <v>293</v>
      </c>
      <c r="E106" s="14" t="s">
        <v>639</v>
      </c>
      <c r="F106" s="29" t="s">
        <v>640</v>
      </c>
      <c r="G106" s="16" t="s">
        <v>641</v>
      </c>
      <c r="H106" s="31" t="s">
        <v>642</v>
      </c>
      <c r="I106" s="30"/>
      <c r="J106" s="30"/>
      <c r="K106" s="30"/>
      <c r="L106" s="19"/>
      <c r="M106" s="27" t="s">
        <v>643</v>
      </c>
    </row>
    <row r="107" spans="1:13" ht="200.1" customHeight="1">
      <c r="A107" s="26">
        <v>104</v>
      </c>
      <c r="B107" s="27" t="s">
        <v>644</v>
      </c>
      <c r="C107" s="28" t="s">
        <v>292</v>
      </c>
      <c r="D107" s="26" t="s">
        <v>293</v>
      </c>
      <c r="E107" s="14" t="s">
        <v>645</v>
      </c>
      <c r="F107" s="29" t="s">
        <v>646</v>
      </c>
      <c r="G107" s="16" t="s">
        <v>647</v>
      </c>
      <c r="H107" s="31" t="s">
        <v>648</v>
      </c>
      <c r="I107" s="30"/>
      <c r="J107" s="30"/>
      <c r="K107" s="30"/>
      <c r="L107" s="19"/>
      <c r="M107" s="27" t="s">
        <v>649</v>
      </c>
    </row>
    <row r="108" spans="1:13" ht="200.1" customHeight="1">
      <c r="A108" s="26">
        <v>105</v>
      </c>
      <c r="B108" s="27" t="s">
        <v>650</v>
      </c>
      <c r="C108" s="28" t="s">
        <v>292</v>
      </c>
      <c r="D108" s="26" t="s">
        <v>293</v>
      </c>
      <c r="E108" s="14" t="s">
        <v>651</v>
      </c>
      <c r="F108" s="29" t="s">
        <v>652</v>
      </c>
      <c r="G108" s="16" t="s">
        <v>653</v>
      </c>
      <c r="H108" s="31" t="s">
        <v>654</v>
      </c>
      <c r="I108" s="30"/>
      <c r="J108" s="30"/>
      <c r="K108" s="30"/>
      <c r="L108" s="19"/>
      <c r="M108" s="27" t="s">
        <v>655</v>
      </c>
    </row>
    <row r="109" spans="1:13" ht="200.1" customHeight="1">
      <c r="A109" s="26">
        <v>106</v>
      </c>
      <c r="B109" s="27" t="s">
        <v>656</v>
      </c>
      <c r="C109" s="28" t="s">
        <v>292</v>
      </c>
      <c r="D109" s="26" t="s">
        <v>293</v>
      </c>
      <c r="E109" s="14" t="s">
        <v>657</v>
      </c>
      <c r="F109" s="29" t="s">
        <v>658</v>
      </c>
      <c r="G109" s="16" t="s">
        <v>659</v>
      </c>
      <c r="H109" s="31" t="s">
        <v>660</v>
      </c>
      <c r="I109" s="30"/>
      <c r="J109" s="30"/>
      <c r="K109" s="30"/>
      <c r="L109" s="19"/>
      <c r="M109" s="27" t="s">
        <v>661</v>
      </c>
    </row>
    <row r="110" spans="1:13" ht="200.1" customHeight="1">
      <c r="A110" s="26">
        <v>107</v>
      </c>
      <c r="B110" s="27" t="s">
        <v>662</v>
      </c>
      <c r="C110" s="28" t="s">
        <v>292</v>
      </c>
      <c r="D110" s="26" t="s">
        <v>293</v>
      </c>
      <c r="E110" s="14" t="s">
        <v>663</v>
      </c>
      <c r="F110" s="29" t="s">
        <v>664</v>
      </c>
      <c r="G110" s="16" t="s">
        <v>665</v>
      </c>
      <c r="H110" s="31" t="s">
        <v>666</v>
      </c>
      <c r="I110" s="30"/>
      <c r="J110" s="30"/>
      <c r="K110" s="30"/>
      <c r="L110" s="19"/>
      <c r="M110" s="27" t="s">
        <v>667</v>
      </c>
    </row>
    <row r="111" spans="1:13" ht="200.1" customHeight="1">
      <c r="A111" s="26">
        <v>108</v>
      </c>
      <c r="B111" s="27" t="s">
        <v>668</v>
      </c>
      <c r="C111" s="28" t="s">
        <v>292</v>
      </c>
      <c r="D111" s="26" t="s">
        <v>293</v>
      </c>
      <c r="E111" s="14" t="s">
        <v>669</v>
      </c>
      <c r="F111" s="29" t="s">
        <v>670</v>
      </c>
      <c r="G111" s="16" t="s">
        <v>671</v>
      </c>
      <c r="H111" s="31" t="s">
        <v>672</v>
      </c>
      <c r="I111" s="30"/>
      <c r="J111" s="30"/>
      <c r="K111" s="30"/>
      <c r="L111" s="19"/>
      <c r="M111" s="27" t="s">
        <v>673</v>
      </c>
    </row>
    <row r="112" spans="1:13" ht="200.1" customHeight="1">
      <c r="A112" s="26">
        <v>109</v>
      </c>
      <c r="B112" s="27" t="s">
        <v>674</v>
      </c>
      <c r="C112" s="28" t="s">
        <v>292</v>
      </c>
      <c r="D112" s="26" t="s">
        <v>293</v>
      </c>
      <c r="E112" s="14" t="s">
        <v>675</v>
      </c>
      <c r="F112" s="29" t="s">
        <v>676</v>
      </c>
      <c r="G112" s="16" t="s">
        <v>677</v>
      </c>
      <c r="H112" s="31" t="s">
        <v>678</v>
      </c>
      <c r="I112" s="30"/>
      <c r="J112" s="30"/>
      <c r="K112" s="30"/>
      <c r="L112" s="19"/>
      <c r="M112" s="27" t="s">
        <v>679</v>
      </c>
    </row>
    <row r="113" spans="1:13" ht="200.1" customHeight="1">
      <c r="A113" s="26">
        <v>110</v>
      </c>
      <c r="B113" s="27" t="s">
        <v>680</v>
      </c>
      <c r="C113" s="28" t="s">
        <v>292</v>
      </c>
      <c r="D113" s="26" t="s">
        <v>293</v>
      </c>
      <c r="E113" s="14" t="s">
        <v>681</v>
      </c>
      <c r="F113" s="29" t="s">
        <v>682</v>
      </c>
      <c r="G113" s="16" t="s">
        <v>683</v>
      </c>
      <c r="H113" s="31" t="s">
        <v>684</v>
      </c>
      <c r="I113" s="30"/>
      <c r="J113" s="30"/>
      <c r="K113" s="30"/>
      <c r="L113" s="19"/>
      <c r="M113" s="27" t="s">
        <v>685</v>
      </c>
    </row>
    <row r="114" spans="1:13" ht="200.1" customHeight="1">
      <c r="A114" s="26">
        <v>111</v>
      </c>
      <c r="B114" s="27" t="s">
        <v>686</v>
      </c>
      <c r="C114" s="28" t="s">
        <v>292</v>
      </c>
      <c r="D114" s="26" t="s">
        <v>293</v>
      </c>
      <c r="E114" s="14" t="s">
        <v>687</v>
      </c>
      <c r="F114" s="29" t="s">
        <v>688</v>
      </c>
      <c r="G114" s="16" t="s">
        <v>689</v>
      </c>
      <c r="H114" s="31" t="s">
        <v>690</v>
      </c>
      <c r="I114" s="30"/>
      <c r="J114" s="30"/>
      <c r="K114" s="30"/>
      <c r="L114" s="19"/>
      <c r="M114" s="27" t="s">
        <v>691</v>
      </c>
    </row>
    <row r="115" spans="1:13" ht="200.1" customHeight="1">
      <c r="A115" s="26">
        <v>112</v>
      </c>
      <c r="B115" s="27" t="s">
        <v>692</v>
      </c>
      <c r="C115" s="28" t="s">
        <v>292</v>
      </c>
      <c r="D115" s="26" t="s">
        <v>293</v>
      </c>
      <c r="E115" s="14" t="s">
        <v>693</v>
      </c>
      <c r="F115" s="29" t="s">
        <v>694</v>
      </c>
      <c r="G115" s="16" t="s">
        <v>695</v>
      </c>
      <c r="H115" s="24" t="s">
        <v>529</v>
      </c>
      <c r="I115" s="30"/>
      <c r="J115" s="30"/>
      <c r="K115" s="30"/>
      <c r="L115" s="19"/>
      <c r="M115" s="27" t="s">
        <v>696</v>
      </c>
    </row>
    <row r="116" spans="1:13" ht="200.1" customHeight="1">
      <c r="A116" s="26">
        <v>113</v>
      </c>
      <c r="B116" s="27" t="s">
        <v>697</v>
      </c>
      <c r="C116" s="28" t="s">
        <v>292</v>
      </c>
      <c r="D116" s="26" t="s">
        <v>293</v>
      </c>
      <c r="E116" s="14" t="s">
        <v>698</v>
      </c>
      <c r="F116" s="29" t="s">
        <v>699</v>
      </c>
      <c r="G116" s="16" t="s">
        <v>700</v>
      </c>
      <c r="H116" s="24" t="s">
        <v>388</v>
      </c>
      <c r="I116" s="30"/>
      <c r="J116" s="30"/>
      <c r="K116" s="30"/>
      <c r="L116" s="19"/>
      <c r="M116" s="27" t="s">
        <v>701</v>
      </c>
    </row>
    <row r="117" spans="1:13" ht="200.1" customHeight="1">
      <c r="A117" s="26">
        <v>114</v>
      </c>
      <c r="B117" s="27" t="s">
        <v>702</v>
      </c>
      <c r="C117" s="28" t="s">
        <v>292</v>
      </c>
      <c r="D117" s="26" t="s">
        <v>293</v>
      </c>
      <c r="E117" s="14" t="s">
        <v>703</v>
      </c>
      <c r="F117" s="29" t="s">
        <v>704</v>
      </c>
      <c r="G117" s="16" t="s">
        <v>705</v>
      </c>
      <c r="H117" s="24" t="s">
        <v>315</v>
      </c>
      <c r="I117" s="30"/>
      <c r="J117" s="30"/>
      <c r="K117" s="30"/>
      <c r="L117" s="19"/>
      <c r="M117" s="27" t="s">
        <v>706</v>
      </c>
    </row>
    <row r="118" spans="1:13" ht="200.1" customHeight="1">
      <c r="A118" s="26">
        <v>115</v>
      </c>
      <c r="B118" s="27" t="s">
        <v>707</v>
      </c>
      <c r="C118" s="28" t="s">
        <v>292</v>
      </c>
      <c r="D118" s="26" t="s">
        <v>293</v>
      </c>
      <c r="E118" s="14" t="s">
        <v>708</v>
      </c>
      <c r="F118" s="29" t="s">
        <v>709</v>
      </c>
      <c r="G118" s="16" t="s">
        <v>710</v>
      </c>
      <c r="H118" s="24" t="s">
        <v>711</v>
      </c>
      <c r="I118" s="30"/>
      <c r="J118" s="30"/>
      <c r="K118" s="30"/>
      <c r="L118" s="19"/>
      <c r="M118" s="27" t="s">
        <v>712</v>
      </c>
    </row>
    <row r="119" spans="1:13" ht="200.1" customHeight="1">
      <c r="A119" s="26">
        <v>116</v>
      </c>
      <c r="B119" s="27" t="s">
        <v>713</v>
      </c>
      <c r="C119" s="28" t="s">
        <v>292</v>
      </c>
      <c r="D119" s="26" t="s">
        <v>293</v>
      </c>
      <c r="E119" s="14" t="s">
        <v>714</v>
      </c>
      <c r="F119" s="29" t="s">
        <v>715</v>
      </c>
      <c r="G119" s="16" t="s">
        <v>716</v>
      </c>
      <c r="H119" s="24" t="s">
        <v>529</v>
      </c>
      <c r="I119" s="30"/>
      <c r="J119" s="30"/>
      <c r="K119" s="30"/>
      <c r="L119" s="19"/>
      <c r="M119" s="27" t="s">
        <v>717</v>
      </c>
    </row>
    <row r="120" spans="1:13" ht="200.1" customHeight="1">
      <c r="A120" s="26">
        <v>117</v>
      </c>
      <c r="B120" s="27" t="s">
        <v>718</v>
      </c>
      <c r="C120" s="28" t="s">
        <v>292</v>
      </c>
      <c r="D120" s="26" t="s">
        <v>293</v>
      </c>
      <c r="E120" s="14" t="s">
        <v>719</v>
      </c>
      <c r="F120" s="29" t="s">
        <v>720</v>
      </c>
      <c r="G120" s="16" t="s">
        <v>721</v>
      </c>
      <c r="H120" s="24" t="s">
        <v>529</v>
      </c>
      <c r="I120" s="30"/>
      <c r="J120" s="30"/>
      <c r="K120" s="30"/>
      <c r="L120" s="19"/>
      <c r="M120" s="27" t="s">
        <v>722</v>
      </c>
    </row>
    <row r="121" spans="1:13" ht="200.1" customHeight="1">
      <c r="A121" s="26">
        <v>118</v>
      </c>
      <c r="B121" s="27" t="s">
        <v>723</v>
      </c>
      <c r="C121" s="28" t="s">
        <v>292</v>
      </c>
      <c r="D121" s="26" t="s">
        <v>293</v>
      </c>
      <c r="E121" s="14" t="s">
        <v>724</v>
      </c>
      <c r="F121" s="29" t="s">
        <v>725</v>
      </c>
      <c r="G121" s="16" t="s">
        <v>726</v>
      </c>
      <c r="H121" s="31" t="s">
        <v>338</v>
      </c>
      <c r="I121" s="30"/>
      <c r="J121" s="30"/>
      <c r="K121" s="30"/>
      <c r="L121" s="19"/>
      <c r="M121" s="27" t="s">
        <v>727</v>
      </c>
    </row>
    <row r="122" spans="1:13" ht="200.1" customHeight="1">
      <c r="A122" s="26">
        <v>119</v>
      </c>
      <c r="B122" s="27" t="s">
        <v>728</v>
      </c>
      <c r="C122" s="28" t="s">
        <v>292</v>
      </c>
      <c r="D122" s="26" t="s">
        <v>293</v>
      </c>
      <c r="E122" s="14" t="s">
        <v>729</v>
      </c>
      <c r="F122" s="29" t="s">
        <v>730</v>
      </c>
      <c r="G122" s="16" t="s">
        <v>731</v>
      </c>
      <c r="H122" s="24" t="s">
        <v>529</v>
      </c>
      <c r="I122" s="30"/>
      <c r="J122" s="30"/>
      <c r="K122" s="30"/>
      <c r="L122" s="19"/>
      <c r="M122" s="27" t="s">
        <v>732</v>
      </c>
    </row>
    <row r="123" spans="1:13" ht="200.1" customHeight="1">
      <c r="A123" s="26">
        <v>120</v>
      </c>
      <c r="B123" s="27" t="s">
        <v>733</v>
      </c>
      <c r="C123" s="28" t="s">
        <v>292</v>
      </c>
      <c r="D123" s="26" t="s">
        <v>293</v>
      </c>
      <c r="E123" s="14" t="s">
        <v>734</v>
      </c>
      <c r="F123" s="29" t="s">
        <v>735</v>
      </c>
      <c r="G123" s="16" t="s">
        <v>736</v>
      </c>
      <c r="H123" s="24" t="s">
        <v>388</v>
      </c>
      <c r="I123" s="30"/>
      <c r="J123" s="30"/>
      <c r="K123" s="30"/>
      <c r="L123" s="19"/>
      <c r="M123" s="27" t="s">
        <v>737</v>
      </c>
    </row>
    <row r="124" spans="1:13" ht="200.1" customHeight="1">
      <c r="A124" s="26">
        <v>121</v>
      </c>
      <c r="B124" s="27" t="s">
        <v>738</v>
      </c>
      <c r="C124" s="28" t="s">
        <v>292</v>
      </c>
      <c r="D124" s="26" t="s">
        <v>293</v>
      </c>
      <c r="E124" s="14" t="s">
        <v>739</v>
      </c>
      <c r="F124" s="29" t="s">
        <v>740</v>
      </c>
      <c r="G124" s="16" t="s">
        <v>741</v>
      </c>
      <c r="H124" s="24" t="s">
        <v>315</v>
      </c>
      <c r="I124" s="30"/>
      <c r="J124" s="30"/>
      <c r="K124" s="30"/>
      <c r="L124" s="19"/>
      <c r="M124" s="27" t="s">
        <v>742</v>
      </c>
    </row>
    <row r="125" spans="1:13" ht="200.1" customHeight="1">
      <c r="A125" s="26">
        <v>122</v>
      </c>
      <c r="B125" s="27" t="s">
        <v>743</v>
      </c>
      <c r="C125" s="28" t="s">
        <v>292</v>
      </c>
      <c r="D125" s="26" t="s">
        <v>293</v>
      </c>
      <c r="E125" s="14" t="s">
        <v>744</v>
      </c>
      <c r="F125" s="29" t="s">
        <v>745</v>
      </c>
      <c r="G125" s="16" t="s">
        <v>746</v>
      </c>
      <c r="H125" s="24" t="s">
        <v>529</v>
      </c>
      <c r="I125" s="30"/>
      <c r="J125" s="30"/>
      <c r="K125" s="30"/>
      <c r="L125" s="19"/>
      <c r="M125" s="27" t="s">
        <v>747</v>
      </c>
    </row>
    <row r="126" spans="1:13" ht="200.1" customHeight="1">
      <c r="A126" s="26">
        <v>123</v>
      </c>
      <c r="B126" s="27" t="s">
        <v>748</v>
      </c>
      <c r="C126" s="28" t="s">
        <v>292</v>
      </c>
      <c r="D126" s="26" t="s">
        <v>293</v>
      </c>
      <c r="E126" s="14" t="s">
        <v>749</v>
      </c>
      <c r="F126" s="29" t="s">
        <v>750</v>
      </c>
      <c r="G126" s="16" t="s">
        <v>751</v>
      </c>
      <c r="H126" s="24" t="s">
        <v>529</v>
      </c>
      <c r="I126" s="30"/>
      <c r="J126" s="30"/>
      <c r="K126" s="30"/>
      <c r="L126" s="19"/>
      <c r="M126" s="27" t="s">
        <v>752</v>
      </c>
    </row>
    <row r="127" spans="1:13" ht="200.1" customHeight="1">
      <c r="A127" s="26">
        <v>124</v>
      </c>
      <c r="B127" s="27" t="s">
        <v>753</v>
      </c>
      <c r="C127" s="28" t="s">
        <v>292</v>
      </c>
      <c r="D127" s="26" t="s">
        <v>293</v>
      </c>
      <c r="E127" s="14" t="s">
        <v>754</v>
      </c>
      <c r="F127" s="29" t="s">
        <v>755</v>
      </c>
      <c r="G127" s="16" t="s">
        <v>756</v>
      </c>
      <c r="H127" s="24" t="s">
        <v>388</v>
      </c>
      <c r="I127" s="30"/>
      <c r="J127" s="30"/>
      <c r="K127" s="30"/>
      <c r="L127" s="19"/>
      <c r="M127" s="27" t="s">
        <v>757</v>
      </c>
    </row>
    <row r="128" spans="1:13" ht="200.1" customHeight="1">
      <c r="A128" s="26">
        <v>125</v>
      </c>
      <c r="B128" s="27" t="s">
        <v>758</v>
      </c>
      <c r="C128" s="28" t="s">
        <v>292</v>
      </c>
      <c r="D128" s="26" t="s">
        <v>293</v>
      </c>
      <c r="E128" s="14" t="s">
        <v>759</v>
      </c>
      <c r="F128" s="29" t="s">
        <v>760</v>
      </c>
      <c r="G128" s="16" t="s">
        <v>761</v>
      </c>
      <c r="H128" s="24" t="s">
        <v>529</v>
      </c>
      <c r="I128" s="30"/>
      <c r="J128" s="30"/>
      <c r="K128" s="30"/>
      <c r="L128" s="19"/>
      <c r="M128" s="27" t="s">
        <v>762</v>
      </c>
    </row>
    <row r="129" spans="1:13" ht="200.1" customHeight="1">
      <c r="A129" s="26">
        <v>126</v>
      </c>
      <c r="B129" s="27" t="s">
        <v>763</v>
      </c>
      <c r="C129" s="28" t="s">
        <v>292</v>
      </c>
      <c r="D129" s="26" t="s">
        <v>293</v>
      </c>
      <c r="E129" s="14" t="s">
        <v>764</v>
      </c>
      <c r="F129" s="29" t="s">
        <v>765</v>
      </c>
      <c r="G129" s="16" t="s">
        <v>766</v>
      </c>
      <c r="H129" s="24" t="s">
        <v>529</v>
      </c>
      <c r="I129" s="30"/>
      <c r="J129" s="30"/>
      <c r="K129" s="30"/>
      <c r="L129" s="19"/>
      <c r="M129" s="27" t="s">
        <v>767</v>
      </c>
    </row>
    <row r="130" spans="1:13" ht="200.1" customHeight="1">
      <c r="A130" s="26">
        <v>127</v>
      </c>
      <c r="B130" s="27" t="s">
        <v>768</v>
      </c>
      <c r="C130" s="28" t="s">
        <v>292</v>
      </c>
      <c r="D130" s="26" t="s">
        <v>293</v>
      </c>
      <c r="E130" s="14" t="s">
        <v>769</v>
      </c>
      <c r="F130" s="29" t="s">
        <v>770</v>
      </c>
      <c r="G130" s="16" t="s">
        <v>771</v>
      </c>
      <c r="H130" s="24" t="s">
        <v>529</v>
      </c>
      <c r="I130" s="30"/>
      <c r="J130" s="30"/>
      <c r="K130" s="30"/>
      <c r="L130" s="19"/>
      <c r="M130" s="27" t="s">
        <v>772</v>
      </c>
    </row>
    <row r="131" spans="1:13" ht="200.1" customHeight="1">
      <c r="A131" s="26">
        <v>128</v>
      </c>
      <c r="B131" s="27" t="s">
        <v>773</v>
      </c>
      <c r="C131" s="28" t="s">
        <v>292</v>
      </c>
      <c r="D131" s="26" t="s">
        <v>293</v>
      </c>
      <c r="E131" s="14" t="s">
        <v>774</v>
      </c>
      <c r="F131" s="29" t="s">
        <v>775</v>
      </c>
      <c r="G131" s="16" t="s">
        <v>776</v>
      </c>
      <c r="H131" s="31" t="s">
        <v>338</v>
      </c>
      <c r="I131" s="30"/>
      <c r="J131" s="30"/>
      <c r="K131" s="30"/>
      <c r="L131" s="19"/>
      <c r="M131" s="27" t="s">
        <v>777</v>
      </c>
    </row>
    <row r="132" spans="1:13" ht="200.1" customHeight="1">
      <c r="A132" s="26">
        <v>129</v>
      </c>
      <c r="B132" s="27" t="s">
        <v>778</v>
      </c>
      <c r="C132" s="28" t="s">
        <v>292</v>
      </c>
      <c r="D132" s="26" t="s">
        <v>293</v>
      </c>
      <c r="E132" s="14" t="s">
        <v>779</v>
      </c>
      <c r="F132" s="29" t="s">
        <v>780</v>
      </c>
      <c r="G132" s="16" t="s">
        <v>781</v>
      </c>
      <c r="H132" s="24" t="s">
        <v>315</v>
      </c>
      <c r="I132" s="30"/>
      <c r="J132" s="30"/>
      <c r="K132" s="30"/>
      <c r="L132" s="19"/>
      <c r="M132" s="27" t="s">
        <v>782</v>
      </c>
    </row>
    <row r="133" spans="1:13" ht="200.1" customHeight="1">
      <c r="A133" s="26">
        <v>130</v>
      </c>
      <c r="B133" s="27" t="s">
        <v>783</v>
      </c>
      <c r="C133" s="28" t="s">
        <v>292</v>
      </c>
      <c r="D133" s="26" t="s">
        <v>293</v>
      </c>
      <c r="E133" s="14" t="s">
        <v>784</v>
      </c>
      <c r="F133" s="29" t="s">
        <v>785</v>
      </c>
      <c r="G133" s="16" t="s">
        <v>786</v>
      </c>
      <c r="H133" s="24" t="s">
        <v>376</v>
      </c>
      <c r="I133" s="30"/>
      <c r="J133" s="30"/>
      <c r="K133" s="30"/>
      <c r="L133" s="19"/>
      <c r="M133" s="27" t="s">
        <v>787</v>
      </c>
    </row>
    <row r="134" spans="1:13" ht="200.1" customHeight="1">
      <c r="A134" s="26">
        <v>131</v>
      </c>
      <c r="B134" s="27" t="s">
        <v>788</v>
      </c>
      <c r="C134" s="28" t="s">
        <v>292</v>
      </c>
      <c r="D134" s="26" t="s">
        <v>293</v>
      </c>
      <c r="E134" s="14" t="s">
        <v>789</v>
      </c>
      <c r="F134" s="29" t="s">
        <v>790</v>
      </c>
      <c r="G134" s="16" t="s">
        <v>791</v>
      </c>
      <c r="H134" s="24" t="s">
        <v>414</v>
      </c>
      <c r="I134" s="30"/>
      <c r="J134" s="30"/>
      <c r="K134" s="30"/>
      <c r="L134" s="19"/>
      <c r="M134" s="27" t="s">
        <v>792</v>
      </c>
    </row>
    <row r="135" spans="1:13" ht="200.1" customHeight="1">
      <c r="A135" s="26">
        <v>132</v>
      </c>
      <c r="B135" s="27" t="s">
        <v>793</v>
      </c>
      <c r="C135" s="28" t="s">
        <v>292</v>
      </c>
      <c r="D135" s="26" t="s">
        <v>293</v>
      </c>
      <c r="E135" s="14" t="s">
        <v>794</v>
      </c>
      <c r="F135" s="29" t="s">
        <v>795</v>
      </c>
      <c r="G135" s="16" t="s">
        <v>796</v>
      </c>
      <c r="H135" s="24" t="s">
        <v>309</v>
      </c>
      <c r="I135" s="30"/>
      <c r="J135" s="30"/>
      <c r="K135" s="30"/>
      <c r="L135" s="19"/>
      <c r="M135" s="27" t="s">
        <v>797</v>
      </c>
    </row>
    <row r="136" spans="1:13" ht="200.1" customHeight="1">
      <c r="A136" s="26">
        <v>133</v>
      </c>
      <c r="B136" s="27" t="s">
        <v>798</v>
      </c>
      <c r="C136" s="28" t="s">
        <v>292</v>
      </c>
      <c r="D136" s="26" t="s">
        <v>293</v>
      </c>
      <c r="E136" s="14" t="s">
        <v>799</v>
      </c>
      <c r="F136" s="29" t="s">
        <v>800</v>
      </c>
      <c r="G136" s="16" t="s">
        <v>801</v>
      </c>
      <c r="H136" s="24" t="s">
        <v>297</v>
      </c>
      <c r="I136" s="30"/>
      <c r="J136" s="30"/>
      <c r="K136" s="30"/>
      <c r="L136" s="19"/>
      <c r="M136" s="27" t="s">
        <v>802</v>
      </c>
    </row>
    <row r="137" spans="1:13" ht="200.1" customHeight="1">
      <c r="A137" s="26">
        <v>134</v>
      </c>
      <c r="B137" s="27" t="s">
        <v>803</v>
      </c>
      <c r="C137" s="28" t="s">
        <v>292</v>
      </c>
      <c r="D137" s="26" t="s">
        <v>293</v>
      </c>
      <c r="E137" s="14" t="s">
        <v>804</v>
      </c>
      <c r="F137" s="29" t="s">
        <v>805</v>
      </c>
      <c r="G137" s="16" t="s">
        <v>806</v>
      </c>
      <c r="H137" s="24" t="s">
        <v>807</v>
      </c>
      <c r="I137" s="30"/>
      <c r="J137" s="30"/>
      <c r="K137" s="30"/>
      <c r="L137" s="19"/>
      <c r="M137" s="27" t="s">
        <v>808</v>
      </c>
    </row>
    <row r="138" spans="1:13" ht="200.1" customHeight="1">
      <c r="A138" s="26">
        <v>135</v>
      </c>
      <c r="B138" s="27" t="s">
        <v>809</v>
      </c>
      <c r="C138" s="28" t="s">
        <v>292</v>
      </c>
      <c r="D138" s="26" t="s">
        <v>293</v>
      </c>
      <c r="E138" s="14" t="s">
        <v>810</v>
      </c>
      <c r="F138" s="29" t="s">
        <v>811</v>
      </c>
      <c r="G138" s="16" t="s">
        <v>812</v>
      </c>
      <c r="H138" s="24" t="s">
        <v>813</v>
      </c>
      <c r="I138" s="30"/>
      <c r="J138" s="30"/>
      <c r="K138" s="30"/>
      <c r="L138" s="19"/>
      <c r="M138" s="27" t="s">
        <v>814</v>
      </c>
    </row>
    <row r="139" spans="1:13" ht="200.1" customHeight="1">
      <c r="A139" s="26">
        <v>136</v>
      </c>
      <c r="B139" s="27" t="s">
        <v>815</v>
      </c>
      <c r="C139" s="28" t="s">
        <v>292</v>
      </c>
      <c r="D139" s="26" t="s">
        <v>293</v>
      </c>
      <c r="E139" s="14" t="s">
        <v>816</v>
      </c>
      <c r="F139" s="29" t="s">
        <v>817</v>
      </c>
      <c r="G139" s="16" t="s">
        <v>818</v>
      </c>
      <c r="H139" s="24" t="s">
        <v>819</v>
      </c>
      <c r="I139" s="30"/>
      <c r="J139" s="30"/>
      <c r="K139" s="30"/>
      <c r="L139" s="19"/>
      <c r="M139" s="27" t="s">
        <v>820</v>
      </c>
    </row>
    <row r="140" spans="1:13" ht="200.1" customHeight="1">
      <c r="A140" s="26">
        <v>137</v>
      </c>
      <c r="B140" s="27" t="s">
        <v>821</v>
      </c>
      <c r="C140" s="28" t="s">
        <v>292</v>
      </c>
      <c r="D140" s="26" t="s">
        <v>293</v>
      </c>
      <c r="E140" s="14" t="s">
        <v>822</v>
      </c>
      <c r="F140" s="29" t="s">
        <v>823</v>
      </c>
      <c r="G140" s="16" t="s">
        <v>824</v>
      </c>
      <c r="H140" s="24" t="s">
        <v>825</v>
      </c>
      <c r="I140" s="30"/>
      <c r="J140" s="30"/>
      <c r="K140" s="30"/>
      <c r="L140" s="19"/>
      <c r="M140" s="27" t="s">
        <v>826</v>
      </c>
    </row>
    <row r="141" spans="1:13" ht="200.1" customHeight="1">
      <c r="A141" s="26">
        <v>138</v>
      </c>
      <c r="B141" s="27" t="s">
        <v>827</v>
      </c>
      <c r="C141" s="28" t="s">
        <v>292</v>
      </c>
      <c r="D141" s="26" t="s">
        <v>293</v>
      </c>
      <c r="E141" s="14" t="s">
        <v>828</v>
      </c>
      <c r="F141" s="29" t="s">
        <v>829</v>
      </c>
      <c r="G141" s="16" t="s">
        <v>830</v>
      </c>
      <c r="H141" s="24" t="s">
        <v>831</v>
      </c>
      <c r="I141" s="30"/>
      <c r="J141" s="30"/>
      <c r="K141" s="30"/>
      <c r="L141" s="19"/>
      <c r="M141" s="27" t="s">
        <v>832</v>
      </c>
    </row>
    <row r="142" spans="1:13" ht="200.1" customHeight="1">
      <c r="A142" s="26">
        <v>139</v>
      </c>
      <c r="B142" s="27" t="s">
        <v>833</v>
      </c>
      <c r="C142" s="28" t="s">
        <v>292</v>
      </c>
      <c r="D142" s="26" t="s">
        <v>293</v>
      </c>
      <c r="E142" s="14" t="s">
        <v>834</v>
      </c>
      <c r="F142" s="29" t="s">
        <v>835</v>
      </c>
      <c r="G142" s="16" t="s">
        <v>836</v>
      </c>
      <c r="H142" s="24" t="s">
        <v>837</v>
      </c>
      <c r="I142" s="30"/>
      <c r="J142" s="30"/>
      <c r="K142" s="30"/>
      <c r="L142" s="19"/>
      <c r="M142" s="27" t="s">
        <v>838</v>
      </c>
    </row>
    <row r="143" spans="1:13" ht="200.1" customHeight="1">
      <c r="A143" s="26">
        <v>140</v>
      </c>
      <c r="B143" s="27" t="s">
        <v>839</v>
      </c>
      <c r="C143" s="28" t="s">
        <v>292</v>
      </c>
      <c r="D143" s="26" t="s">
        <v>293</v>
      </c>
      <c r="E143" s="14" t="s">
        <v>840</v>
      </c>
      <c r="F143" s="29" t="s">
        <v>841</v>
      </c>
      <c r="G143" s="16" t="s">
        <v>842</v>
      </c>
      <c r="H143" s="24" t="s">
        <v>529</v>
      </c>
      <c r="I143" s="30"/>
      <c r="J143" s="30"/>
      <c r="K143" s="30"/>
      <c r="L143" s="19"/>
      <c r="M143" s="27" t="s">
        <v>843</v>
      </c>
    </row>
    <row r="144" spans="1:13" ht="200.1" customHeight="1">
      <c r="A144" s="26">
        <v>141</v>
      </c>
      <c r="B144" s="27" t="s">
        <v>844</v>
      </c>
      <c r="C144" s="28" t="s">
        <v>292</v>
      </c>
      <c r="D144" s="26" t="s">
        <v>293</v>
      </c>
      <c r="E144" s="14" t="s">
        <v>845</v>
      </c>
      <c r="F144" s="29" t="s">
        <v>846</v>
      </c>
      <c r="G144" s="16" t="s">
        <v>847</v>
      </c>
      <c r="H144" s="24" t="s">
        <v>388</v>
      </c>
      <c r="I144" s="30"/>
      <c r="J144" s="30"/>
      <c r="K144" s="30"/>
      <c r="L144" s="19"/>
      <c r="M144" s="27" t="s">
        <v>848</v>
      </c>
    </row>
    <row r="145" spans="1:13" ht="200.1" customHeight="1">
      <c r="A145" s="26">
        <v>142</v>
      </c>
      <c r="B145" s="27" t="s">
        <v>849</v>
      </c>
      <c r="C145" s="28" t="s">
        <v>292</v>
      </c>
      <c r="D145" s="26" t="s">
        <v>293</v>
      </c>
      <c r="E145" s="14" t="s">
        <v>850</v>
      </c>
      <c r="F145" s="29" t="s">
        <v>851</v>
      </c>
      <c r="G145" s="16" t="s">
        <v>852</v>
      </c>
      <c r="H145" s="24" t="s">
        <v>853</v>
      </c>
      <c r="I145" s="30"/>
      <c r="J145" s="30"/>
      <c r="K145" s="30"/>
      <c r="L145" s="19"/>
      <c r="M145" s="27" t="s">
        <v>854</v>
      </c>
    </row>
    <row r="146" spans="1:13" ht="200.1" customHeight="1">
      <c r="A146" s="26">
        <v>143</v>
      </c>
      <c r="B146" s="27" t="s">
        <v>855</v>
      </c>
      <c r="C146" s="28" t="s">
        <v>292</v>
      </c>
      <c r="D146" s="26" t="s">
        <v>293</v>
      </c>
      <c r="E146" s="14" t="s">
        <v>856</v>
      </c>
      <c r="F146" s="29" t="s">
        <v>857</v>
      </c>
      <c r="G146" s="16" t="s">
        <v>858</v>
      </c>
      <c r="H146" s="24" t="s">
        <v>529</v>
      </c>
      <c r="I146" s="30"/>
      <c r="J146" s="30"/>
      <c r="K146" s="30"/>
      <c r="L146" s="19"/>
      <c r="M146" s="27" t="s">
        <v>859</v>
      </c>
    </row>
    <row r="147" spans="1:13" ht="200.1" customHeight="1">
      <c r="A147" s="26">
        <v>144</v>
      </c>
      <c r="B147" s="27" t="s">
        <v>860</v>
      </c>
      <c r="C147" s="28" t="s">
        <v>292</v>
      </c>
      <c r="D147" s="26" t="s">
        <v>293</v>
      </c>
      <c r="E147" s="14" t="s">
        <v>861</v>
      </c>
      <c r="F147" s="29" t="s">
        <v>862</v>
      </c>
      <c r="G147" s="16" t="s">
        <v>863</v>
      </c>
      <c r="H147" s="24" t="s">
        <v>529</v>
      </c>
      <c r="I147" s="30"/>
      <c r="J147" s="30"/>
      <c r="K147" s="30"/>
      <c r="L147" s="19"/>
      <c r="M147" s="27" t="s">
        <v>864</v>
      </c>
    </row>
    <row r="148" spans="1:13" ht="200.1" customHeight="1">
      <c r="A148" s="26">
        <v>145</v>
      </c>
      <c r="B148" s="27" t="s">
        <v>865</v>
      </c>
      <c r="C148" s="28" t="s">
        <v>292</v>
      </c>
      <c r="D148" s="26" t="s">
        <v>293</v>
      </c>
      <c r="E148" s="14" t="s">
        <v>866</v>
      </c>
      <c r="F148" s="29" t="s">
        <v>867</v>
      </c>
      <c r="G148" s="16" t="s">
        <v>868</v>
      </c>
      <c r="H148" s="24" t="s">
        <v>529</v>
      </c>
      <c r="I148" s="30"/>
      <c r="J148" s="30"/>
      <c r="K148" s="30"/>
      <c r="L148" s="19"/>
      <c r="M148" s="27" t="s">
        <v>869</v>
      </c>
    </row>
    <row r="149" spans="1:13" ht="200.1" customHeight="1">
      <c r="A149" s="26">
        <v>146</v>
      </c>
      <c r="B149" s="27" t="s">
        <v>870</v>
      </c>
      <c r="C149" s="28" t="s">
        <v>292</v>
      </c>
      <c r="D149" s="26" t="s">
        <v>293</v>
      </c>
      <c r="E149" s="14" t="s">
        <v>871</v>
      </c>
      <c r="F149" s="29" t="s">
        <v>872</v>
      </c>
      <c r="G149" s="16" t="s">
        <v>873</v>
      </c>
      <c r="H149" s="24" t="s">
        <v>529</v>
      </c>
      <c r="I149" s="30"/>
      <c r="J149" s="30"/>
      <c r="K149" s="30"/>
      <c r="L149" s="19"/>
      <c r="M149" s="27" t="s">
        <v>874</v>
      </c>
    </row>
    <row r="150" spans="1:13" ht="200.1" customHeight="1">
      <c r="A150" s="26">
        <v>147</v>
      </c>
      <c r="B150" s="27" t="s">
        <v>875</v>
      </c>
      <c r="C150" s="28" t="s">
        <v>292</v>
      </c>
      <c r="D150" s="26" t="s">
        <v>293</v>
      </c>
      <c r="E150" s="14" t="s">
        <v>876</v>
      </c>
      <c r="F150" s="29" t="s">
        <v>877</v>
      </c>
      <c r="G150" s="16" t="s">
        <v>878</v>
      </c>
      <c r="H150" s="24" t="s">
        <v>388</v>
      </c>
      <c r="I150" s="30"/>
      <c r="J150" s="30"/>
      <c r="K150" s="30"/>
      <c r="L150" s="19"/>
      <c r="M150" s="27" t="s">
        <v>879</v>
      </c>
    </row>
    <row r="151" spans="1:13" ht="200.1" customHeight="1">
      <c r="A151" s="26">
        <v>148</v>
      </c>
      <c r="B151" s="27" t="s">
        <v>880</v>
      </c>
      <c r="C151" s="28" t="s">
        <v>292</v>
      </c>
      <c r="D151" s="26" t="s">
        <v>293</v>
      </c>
      <c r="E151" s="14" t="s">
        <v>881</v>
      </c>
      <c r="F151" s="29" t="s">
        <v>882</v>
      </c>
      <c r="G151" s="16" t="s">
        <v>883</v>
      </c>
      <c r="H151" s="24" t="s">
        <v>315</v>
      </c>
      <c r="I151" s="30"/>
      <c r="J151" s="30"/>
      <c r="K151" s="30"/>
      <c r="L151" s="19"/>
      <c r="M151" s="27" t="s">
        <v>884</v>
      </c>
    </row>
    <row r="152" spans="1:13" ht="200.1" customHeight="1">
      <c r="A152" s="26">
        <v>149</v>
      </c>
      <c r="B152" s="27" t="s">
        <v>885</v>
      </c>
      <c r="C152" s="28" t="s">
        <v>292</v>
      </c>
      <c r="D152" s="26" t="s">
        <v>293</v>
      </c>
      <c r="E152" s="14" t="s">
        <v>886</v>
      </c>
      <c r="F152" s="29" t="s">
        <v>887</v>
      </c>
      <c r="G152" s="16" t="s">
        <v>888</v>
      </c>
      <c r="H152" s="24" t="s">
        <v>529</v>
      </c>
      <c r="I152" s="30"/>
      <c r="J152" s="30"/>
      <c r="K152" s="30"/>
      <c r="L152" s="19"/>
      <c r="M152" s="27" t="s">
        <v>889</v>
      </c>
    </row>
    <row r="153" spans="1:13" ht="200.1" customHeight="1">
      <c r="A153" s="26">
        <v>150</v>
      </c>
      <c r="B153" s="27" t="s">
        <v>890</v>
      </c>
      <c r="C153" s="28" t="s">
        <v>292</v>
      </c>
      <c r="D153" s="26" t="s">
        <v>293</v>
      </c>
      <c r="E153" s="14" t="s">
        <v>891</v>
      </c>
      <c r="F153" s="29" t="s">
        <v>892</v>
      </c>
      <c r="G153" s="16" t="s">
        <v>893</v>
      </c>
      <c r="H153" s="24" t="s">
        <v>388</v>
      </c>
      <c r="I153" s="30"/>
      <c r="J153" s="30"/>
      <c r="K153" s="30"/>
      <c r="L153" s="19"/>
      <c r="M153" s="27" t="s">
        <v>894</v>
      </c>
    </row>
    <row r="154" spans="1:13" ht="200.1" customHeight="1">
      <c r="A154" s="26">
        <v>151</v>
      </c>
      <c r="B154" s="27" t="s">
        <v>895</v>
      </c>
      <c r="C154" s="28" t="s">
        <v>292</v>
      </c>
      <c r="D154" s="26" t="s">
        <v>293</v>
      </c>
      <c r="E154" s="14" t="s">
        <v>896</v>
      </c>
      <c r="F154" s="29" t="s">
        <v>897</v>
      </c>
      <c r="G154" s="16" t="s">
        <v>898</v>
      </c>
      <c r="H154" s="24" t="s">
        <v>315</v>
      </c>
      <c r="I154" s="30"/>
      <c r="J154" s="30"/>
      <c r="K154" s="30"/>
      <c r="L154" s="19"/>
      <c r="M154" s="27" t="s">
        <v>899</v>
      </c>
    </row>
    <row r="155" spans="1:13" ht="200.1" customHeight="1">
      <c r="A155" s="26">
        <v>152</v>
      </c>
      <c r="B155" s="27" t="s">
        <v>900</v>
      </c>
      <c r="C155" s="28" t="s">
        <v>292</v>
      </c>
      <c r="D155" s="26" t="s">
        <v>293</v>
      </c>
      <c r="E155" s="14" t="s">
        <v>901</v>
      </c>
      <c r="F155" s="29" t="s">
        <v>902</v>
      </c>
      <c r="G155" s="16" t="s">
        <v>903</v>
      </c>
      <c r="H155" s="24" t="s">
        <v>529</v>
      </c>
      <c r="I155" s="30"/>
      <c r="J155" s="30"/>
      <c r="K155" s="30"/>
      <c r="L155" s="19"/>
      <c r="M155" s="27" t="s">
        <v>904</v>
      </c>
    </row>
    <row r="156" spans="1:13" ht="200.1" customHeight="1">
      <c r="A156" s="26">
        <v>153</v>
      </c>
      <c r="B156" s="27" t="s">
        <v>905</v>
      </c>
      <c r="C156" s="28" t="s">
        <v>292</v>
      </c>
      <c r="D156" s="26" t="s">
        <v>293</v>
      </c>
      <c r="E156" s="14" t="s">
        <v>906</v>
      </c>
      <c r="F156" s="29" t="s">
        <v>907</v>
      </c>
      <c r="G156" s="16" t="s">
        <v>908</v>
      </c>
      <c r="H156" s="24" t="s">
        <v>909</v>
      </c>
      <c r="I156" s="30"/>
      <c r="J156" s="30"/>
      <c r="K156" s="30"/>
      <c r="L156" s="19"/>
      <c r="M156" s="27" t="s">
        <v>910</v>
      </c>
    </row>
    <row r="157" spans="1:13" ht="200.1" customHeight="1">
      <c r="A157" s="32">
        <v>154</v>
      </c>
      <c r="B157" s="33" t="s">
        <v>911</v>
      </c>
      <c r="C157" s="34" t="s">
        <v>912</v>
      </c>
      <c r="D157" s="32" t="s">
        <v>913</v>
      </c>
      <c r="E157" s="14" t="s">
        <v>914</v>
      </c>
      <c r="F157" s="35" t="s">
        <v>915</v>
      </c>
      <c r="G157" s="16" t="s">
        <v>916</v>
      </c>
      <c r="H157" s="31" t="s">
        <v>917</v>
      </c>
      <c r="I157" s="36"/>
      <c r="J157" s="36"/>
      <c r="K157" s="36"/>
      <c r="L157" s="19"/>
      <c r="M157" s="33" t="s">
        <v>918</v>
      </c>
    </row>
    <row r="158" spans="1:13" ht="200.1" customHeight="1">
      <c r="A158" s="32">
        <v>155</v>
      </c>
      <c r="B158" s="33" t="s">
        <v>919</v>
      </c>
      <c r="C158" s="34" t="s">
        <v>912</v>
      </c>
      <c r="D158" s="32" t="s">
        <v>913</v>
      </c>
      <c r="E158" s="14" t="s">
        <v>920</v>
      </c>
      <c r="F158" s="35" t="s">
        <v>921</v>
      </c>
      <c r="G158" s="16" t="s">
        <v>922</v>
      </c>
      <c r="H158" s="31" t="s">
        <v>923</v>
      </c>
      <c r="I158" s="36"/>
      <c r="J158" s="36"/>
      <c r="K158" s="36"/>
      <c r="L158" s="19"/>
      <c r="M158" s="33" t="s">
        <v>924</v>
      </c>
    </row>
    <row r="159" spans="1:13" ht="200.1" customHeight="1">
      <c r="A159" s="32">
        <v>156</v>
      </c>
      <c r="B159" s="33" t="s">
        <v>925</v>
      </c>
      <c r="C159" s="34" t="s">
        <v>912</v>
      </c>
      <c r="D159" s="32" t="s">
        <v>913</v>
      </c>
      <c r="E159" s="14" t="s">
        <v>926</v>
      </c>
      <c r="F159" s="35" t="s">
        <v>927</v>
      </c>
      <c r="G159" s="16" t="s">
        <v>928</v>
      </c>
      <c r="H159" s="31" t="s">
        <v>929</v>
      </c>
      <c r="I159" s="36"/>
      <c r="J159" s="36"/>
      <c r="K159" s="36"/>
      <c r="L159" s="19"/>
      <c r="M159" s="33" t="s">
        <v>930</v>
      </c>
    </row>
    <row r="160" spans="1:13" ht="200.1" customHeight="1">
      <c r="A160" s="32">
        <v>157</v>
      </c>
      <c r="B160" s="33" t="s">
        <v>931</v>
      </c>
      <c r="C160" s="34" t="s">
        <v>912</v>
      </c>
      <c r="D160" s="32" t="s">
        <v>913</v>
      </c>
      <c r="E160" s="14" t="s">
        <v>932</v>
      </c>
      <c r="F160" s="35" t="s">
        <v>933</v>
      </c>
      <c r="G160" s="16" t="s">
        <v>934</v>
      </c>
      <c r="H160" s="31" t="s">
        <v>935</v>
      </c>
      <c r="I160" s="36"/>
      <c r="J160" s="36"/>
      <c r="K160" s="36"/>
      <c r="L160" s="19"/>
      <c r="M160" s="33" t="s">
        <v>936</v>
      </c>
    </row>
    <row r="161" spans="1:13" ht="200.1" customHeight="1">
      <c r="A161" s="32">
        <v>158</v>
      </c>
      <c r="B161" s="33" t="s">
        <v>937</v>
      </c>
      <c r="C161" s="34" t="s">
        <v>912</v>
      </c>
      <c r="D161" s="32" t="s">
        <v>913</v>
      </c>
      <c r="E161" s="14" t="s">
        <v>938</v>
      </c>
      <c r="F161" s="35" t="s">
        <v>939</v>
      </c>
      <c r="G161" s="16" t="s">
        <v>940</v>
      </c>
      <c r="H161" s="31" t="s">
        <v>941</v>
      </c>
      <c r="I161" s="36"/>
      <c r="J161" s="36"/>
      <c r="K161" s="36"/>
      <c r="L161" s="19"/>
      <c r="M161" s="33" t="s">
        <v>942</v>
      </c>
    </row>
    <row r="162" spans="1:13" ht="200.1" customHeight="1">
      <c r="A162" s="32">
        <v>159</v>
      </c>
      <c r="B162" s="33" t="s">
        <v>943</v>
      </c>
      <c r="C162" s="34" t="s">
        <v>912</v>
      </c>
      <c r="D162" s="32" t="s">
        <v>913</v>
      </c>
      <c r="E162" s="14" t="s">
        <v>944</v>
      </c>
      <c r="F162" s="35" t="s">
        <v>945</v>
      </c>
      <c r="G162" s="16" t="s">
        <v>946</v>
      </c>
      <c r="H162" s="31" t="s">
        <v>947</v>
      </c>
      <c r="I162" s="36"/>
      <c r="J162" s="36"/>
      <c r="K162" s="36"/>
      <c r="L162" s="19"/>
      <c r="M162" s="33" t="s">
        <v>948</v>
      </c>
    </row>
    <row r="163" spans="1:13" ht="200.1" customHeight="1">
      <c r="A163" s="32">
        <v>160</v>
      </c>
      <c r="B163" s="33" t="s">
        <v>949</v>
      </c>
      <c r="C163" s="34" t="s">
        <v>912</v>
      </c>
      <c r="D163" s="32" t="s">
        <v>913</v>
      </c>
      <c r="E163" s="14" t="s">
        <v>950</v>
      </c>
      <c r="F163" s="35" t="s">
        <v>951</v>
      </c>
      <c r="G163" s="16" t="s">
        <v>952</v>
      </c>
      <c r="H163" s="31" t="s">
        <v>953</v>
      </c>
      <c r="I163" s="36"/>
      <c r="J163" s="36"/>
      <c r="K163" s="36"/>
      <c r="L163" s="19"/>
      <c r="M163" s="33" t="s">
        <v>954</v>
      </c>
    </row>
    <row r="164" spans="1:13" ht="200.1" customHeight="1">
      <c r="A164" s="32">
        <v>161</v>
      </c>
      <c r="B164" s="33" t="s">
        <v>955</v>
      </c>
      <c r="C164" s="34" t="s">
        <v>912</v>
      </c>
      <c r="D164" s="32" t="s">
        <v>913</v>
      </c>
      <c r="E164" s="14" t="s">
        <v>956</v>
      </c>
      <c r="F164" s="35" t="s">
        <v>957</v>
      </c>
      <c r="G164" s="16" t="s">
        <v>958</v>
      </c>
      <c r="H164" s="31" t="s">
        <v>959</v>
      </c>
      <c r="I164" s="36"/>
      <c r="J164" s="36"/>
      <c r="K164" s="36"/>
      <c r="L164" s="19"/>
      <c r="M164" s="33" t="s">
        <v>960</v>
      </c>
    </row>
    <row r="165" spans="1:13" ht="200.1" customHeight="1">
      <c r="A165" s="32">
        <v>162</v>
      </c>
      <c r="B165" s="33" t="s">
        <v>961</v>
      </c>
      <c r="C165" s="34" t="s">
        <v>912</v>
      </c>
      <c r="D165" s="32" t="s">
        <v>913</v>
      </c>
      <c r="E165" s="14" t="s">
        <v>962</v>
      </c>
      <c r="F165" s="35" t="s">
        <v>963</v>
      </c>
      <c r="G165" s="16" t="s">
        <v>964</v>
      </c>
      <c r="H165" s="31" t="s">
        <v>965</v>
      </c>
      <c r="I165" s="36"/>
      <c r="J165" s="36"/>
      <c r="K165" s="36"/>
      <c r="L165" s="19"/>
      <c r="M165" s="33" t="s">
        <v>966</v>
      </c>
    </row>
    <row r="166" spans="1:13" ht="200.1" customHeight="1">
      <c r="A166" s="32">
        <v>163</v>
      </c>
      <c r="B166" s="33" t="s">
        <v>967</v>
      </c>
      <c r="C166" s="34" t="s">
        <v>912</v>
      </c>
      <c r="D166" s="32" t="s">
        <v>913</v>
      </c>
      <c r="E166" s="14" t="s">
        <v>968</v>
      </c>
      <c r="F166" s="35" t="s">
        <v>969</v>
      </c>
      <c r="G166" s="16" t="s">
        <v>970</v>
      </c>
      <c r="H166" s="31" t="s">
        <v>971</v>
      </c>
      <c r="I166" s="36"/>
      <c r="J166" s="36"/>
      <c r="K166" s="36"/>
      <c r="L166" s="19"/>
      <c r="M166" s="33" t="s">
        <v>972</v>
      </c>
    </row>
    <row r="167" spans="1:13" ht="200.1" customHeight="1">
      <c r="A167" s="32">
        <v>164</v>
      </c>
      <c r="B167" s="33" t="s">
        <v>973</v>
      </c>
      <c r="C167" s="34" t="s">
        <v>912</v>
      </c>
      <c r="D167" s="32" t="s">
        <v>913</v>
      </c>
      <c r="E167" s="14" t="s">
        <v>974</v>
      </c>
      <c r="F167" s="35" t="s">
        <v>975</v>
      </c>
      <c r="G167" s="16" t="s">
        <v>976</v>
      </c>
      <c r="H167" s="31" t="s">
        <v>977</v>
      </c>
      <c r="I167" s="36"/>
      <c r="J167" s="36"/>
      <c r="K167" s="36"/>
      <c r="L167" s="19"/>
      <c r="M167" s="33" t="s">
        <v>978</v>
      </c>
    </row>
    <row r="168" spans="1:13" ht="200.1" customHeight="1">
      <c r="A168" s="32">
        <v>165</v>
      </c>
      <c r="B168" s="33" t="s">
        <v>979</v>
      </c>
      <c r="C168" s="34" t="s">
        <v>912</v>
      </c>
      <c r="D168" s="32" t="s">
        <v>913</v>
      </c>
      <c r="E168" s="14" t="s">
        <v>980</v>
      </c>
      <c r="F168" s="35" t="s">
        <v>981</v>
      </c>
      <c r="G168" s="16" t="s">
        <v>982</v>
      </c>
      <c r="H168" s="31" t="s">
        <v>983</v>
      </c>
      <c r="I168" s="36"/>
      <c r="J168" s="36"/>
      <c r="K168" s="36"/>
      <c r="L168" s="19"/>
      <c r="M168" s="33" t="s">
        <v>984</v>
      </c>
    </row>
    <row r="169" spans="1:13" ht="200.1" customHeight="1">
      <c r="A169" s="32">
        <v>166</v>
      </c>
      <c r="B169" s="33" t="s">
        <v>985</v>
      </c>
      <c r="C169" s="34" t="s">
        <v>912</v>
      </c>
      <c r="D169" s="32" t="s">
        <v>913</v>
      </c>
      <c r="E169" s="14" t="s">
        <v>986</v>
      </c>
      <c r="F169" s="35" t="s">
        <v>987</v>
      </c>
      <c r="G169" s="16" t="s">
        <v>988</v>
      </c>
      <c r="H169" s="31" t="s">
        <v>989</v>
      </c>
      <c r="I169" s="36"/>
      <c r="J169" s="36"/>
      <c r="K169" s="36"/>
      <c r="L169" s="19"/>
      <c r="M169" s="33" t="s">
        <v>990</v>
      </c>
    </row>
    <row r="170" spans="1:13" ht="200.1" customHeight="1">
      <c r="A170" s="32">
        <v>167</v>
      </c>
      <c r="B170" s="33" t="s">
        <v>991</v>
      </c>
      <c r="C170" s="34" t="s">
        <v>912</v>
      </c>
      <c r="D170" s="32" t="s">
        <v>913</v>
      </c>
      <c r="E170" s="14" t="s">
        <v>992</v>
      </c>
      <c r="F170" s="35" t="s">
        <v>993</v>
      </c>
      <c r="G170" s="16" t="s">
        <v>994</v>
      </c>
      <c r="H170" s="31" t="s">
        <v>995</v>
      </c>
      <c r="I170" s="36"/>
      <c r="J170" s="36"/>
      <c r="K170" s="36"/>
      <c r="L170" s="19"/>
      <c r="M170" s="33" t="s">
        <v>996</v>
      </c>
    </row>
    <row r="171" spans="1:13" ht="200.1" customHeight="1">
      <c r="A171" s="32">
        <v>168</v>
      </c>
      <c r="B171" s="33" t="s">
        <v>997</v>
      </c>
      <c r="C171" s="34" t="s">
        <v>912</v>
      </c>
      <c r="D171" s="32" t="s">
        <v>913</v>
      </c>
      <c r="E171" s="14" t="s">
        <v>998</v>
      </c>
      <c r="F171" s="35" t="s">
        <v>999</v>
      </c>
      <c r="G171" s="16" t="s">
        <v>1000</v>
      </c>
      <c r="H171" s="31" t="s">
        <v>1001</v>
      </c>
      <c r="I171" s="36"/>
      <c r="J171" s="36"/>
      <c r="K171" s="36"/>
      <c r="L171" s="19"/>
      <c r="M171" s="33" t="s">
        <v>1002</v>
      </c>
    </row>
    <row r="172" spans="1:13" ht="200.1" customHeight="1">
      <c r="A172" s="32">
        <v>169</v>
      </c>
      <c r="B172" s="33" t="s">
        <v>1003</v>
      </c>
      <c r="C172" s="34" t="s">
        <v>912</v>
      </c>
      <c r="D172" s="32" t="s">
        <v>913</v>
      </c>
      <c r="E172" s="14" t="s">
        <v>1004</v>
      </c>
      <c r="F172" s="35" t="s">
        <v>1005</v>
      </c>
      <c r="G172" s="16" t="s">
        <v>1006</v>
      </c>
      <c r="H172" s="31" t="s">
        <v>1007</v>
      </c>
      <c r="I172" s="36"/>
      <c r="J172" s="36"/>
      <c r="K172" s="36"/>
      <c r="L172" s="19"/>
      <c r="M172" s="33" t="s">
        <v>1008</v>
      </c>
    </row>
    <row r="173" spans="1:13" ht="200.1" customHeight="1">
      <c r="A173" s="32">
        <v>170</v>
      </c>
      <c r="B173" s="33" t="s">
        <v>1009</v>
      </c>
      <c r="C173" s="34" t="s">
        <v>912</v>
      </c>
      <c r="D173" s="32" t="s">
        <v>913</v>
      </c>
      <c r="E173" s="14" t="s">
        <v>1010</v>
      </c>
      <c r="F173" s="35" t="s">
        <v>1011</v>
      </c>
      <c r="G173" s="16" t="s">
        <v>1012</v>
      </c>
      <c r="H173" s="31" t="s">
        <v>923</v>
      </c>
      <c r="I173" s="36"/>
      <c r="J173" s="36"/>
      <c r="K173" s="36"/>
      <c r="L173" s="19"/>
      <c r="M173" s="33" t="s">
        <v>1013</v>
      </c>
    </row>
    <row r="174" spans="1:13" ht="200.1" customHeight="1">
      <c r="A174" s="32">
        <v>171</v>
      </c>
      <c r="B174" s="33" t="s">
        <v>1014</v>
      </c>
      <c r="C174" s="34" t="s">
        <v>912</v>
      </c>
      <c r="D174" s="32" t="s">
        <v>913</v>
      </c>
      <c r="E174" s="14" t="s">
        <v>1015</v>
      </c>
      <c r="F174" s="35" t="s">
        <v>1016</v>
      </c>
      <c r="G174" s="16" t="s">
        <v>1017</v>
      </c>
      <c r="H174" s="31" t="s">
        <v>1018</v>
      </c>
      <c r="I174" s="36"/>
      <c r="J174" s="36"/>
      <c r="K174" s="36"/>
      <c r="L174" s="19"/>
      <c r="M174" s="33" t="s">
        <v>1019</v>
      </c>
    </row>
    <row r="175" spans="1:13" ht="200.1" customHeight="1">
      <c r="A175" s="32">
        <v>172</v>
      </c>
      <c r="B175" s="33" t="s">
        <v>1020</v>
      </c>
      <c r="C175" s="34" t="s">
        <v>912</v>
      </c>
      <c r="D175" s="32" t="s">
        <v>913</v>
      </c>
      <c r="E175" s="14" t="s">
        <v>1021</v>
      </c>
      <c r="F175" s="35" t="s">
        <v>1022</v>
      </c>
      <c r="G175" s="16" t="s">
        <v>1023</v>
      </c>
      <c r="H175" s="31" t="s">
        <v>1024</v>
      </c>
      <c r="I175" s="36"/>
      <c r="J175" s="36"/>
      <c r="K175" s="36"/>
      <c r="L175" s="19"/>
      <c r="M175" s="33" t="s">
        <v>1025</v>
      </c>
    </row>
    <row r="176" spans="1:13" ht="200.1" customHeight="1">
      <c r="A176" s="32">
        <v>173</v>
      </c>
      <c r="B176" s="33" t="s">
        <v>1026</v>
      </c>
      <c r="C176" s="34" t="s">
        <v>912</v>
      </c>
      <c r="D176" s="32" t="s">
        <v>913</v>
      </c>
      <c r="E176" s="14" t="s">
        <v>1027</v>
      </c>
      <c r="F176" s="35" t="s">
        <v>1028</v>
      </c>
      <c r="G176" s="16" t="s">
        <v>1029</v>
      </c>
      <c r="H176" s="31" t="s">
        <v>1030</v>
      </c>
      <c r="I176" s="36"/>
      <c r="J176" s="36"/>
      <c r="K176" s="36"/>
      <c r="L176" s="19"/>
      <c r="M176" s="33" t="s">
        <v>1031</v>
      </c>
    </row>
    <row r="177" spans="1:13" ht="200.1" customHeight="1">
      <c r="A177" s="32">
        <v>174</v>
      </c>
      <c r="B177" s="33" t="s">
        <v>1032</v>
      </c>
      <c r="C177" s="34" t="s">
        <v>912</v>
      </c>
      <c r="D177" s="32" t="s">
        <v>913</v>
      </c>
      <c r="E177" s="14" t="s">
        <v>1033</v>
      </c>
      <c r="F177" s="35" t="s">
        <v>1034</v>
      </c>
      <c r="G177" s="16" t="s">
        <v>1035</v>
      </c>
      <c r="H177" s="31" t="s">
        <v>977</v>
      </c>
      <c r="I177" s="36"/>
      <c r="J177" s="36"/>
      <c r="K177" s="36"/>
      <c r="L177" s="19"/>
      <c r="M177" s="33" t="s">
        <v>1036</v>
      </c>
    </row>
    <row r="178" spans="1:13" ht="200.1" customHeight="1">
      <c r="A178" s="32">
        <v>175</v>
      </c>
      <c r="B178" s="33" t="s">
        <v>1037</v>
      </c>
      <c r="C178" s="34" t="s">
        <v>912</v>
      </c>
      <c r="D178" s="32" t="s">
        <v>913</v>
      </c>
      <c r="E178" s="14" t="s">
        <v>1038</v>
      </c>
      <c r="F178" s="35" t="s">
        <v>1039</v>
      </c>
      <c r="G178" s="16" t="s">
        <v>1040</v>
      </c>
      <c r="H178" s="31" t="s">
        <v>1041</v>
      </c>
      <c r="I178" s="36"/>
      <c r="J178" s="36"/>
      <c r="K178" s="36"/>
      <c r="L178" s="19"/>
      <c r="M178" s="33" t="s">
        <v>1042</v>
      </c>
    </row>
    <row r="179" spans="1:13" ht="200.1" customHeight="1">
      <c r="A179" s="32">
        <v>176</v>
      </c>
      <c r="B179" s="33" t="s">
        <v>1043</v>
      </c>
      <c r="C179" s="34" t="s">
        <v>912</v>
      </c>
      <c r="D179" s="32" t="s">
        <v>913</v>
      </c>
      <c r="E179" s="14" t="s">
        <v>1044</v>
      </c>
      <c r="F179" s="35" t="s">
        <v>1045</v>
      </c>
      <c r="G179" s="16" t="s">
        <v>1046</v>
      </c>
      <c r="H179" s="31" t="s">
        <v>1047</v>
      </c>
      <c r="I179" s="36"/>
      <c r="J179" s="36"/>
      <c r="K179" s="36"/>
      <c r="L179" s="19"/>
      <c r="M179" s="33" t="s">
        <v>1048</v>
      </c>
    </row>
    <row r="180" spans="1:13" ht="200.1" customHeight="1">
      <c r="A180" s="32">
        <v>177</v>
      </c>
      <c r="B180" s="33" t="s">
        <v>1049</v>
      </c>
      <c r="C180" s="34" t="s">
        <v>912</v>
      </c>
      <c r="D180" s="32" t="s">
        <v>913</v>
      </c>
      <c r="E180" s="14" t="s">
        <v>1050</v>
      </c>
      <c r="F180" s="35" t="s">
        <v>1051</v>
      </c>
      <c r="G180" s="16" t="s">
        <v>1052</v>
      </c>
      <c r="H180" s="31" t="s">
        <v>1053</v>
      </c>
      <c r="I180" s="36"/>
      <c r="J180" s="36"/>
      <c r="K180" s="36"/>
      <c r="L180" s="19"/>
      <c r="M180" s="33" t="s">
        <v>1054</v>
      </c>
    </row>
    <row r="181" spans="1:13" ht="200.1" customHeight="1">
      <c r="A181" s="32">
        <v>178</v>
      </c>
      <c r="B181" s="33" t="s">
        <v>1055</v>
      </c>
      <c r="C181" s="34" t="s">
        <v>912</v>
      </c>
      <c r="D181" s="32" t="s">
        <v>913</v>
      </c>
      <c r="E181" s="14" t="s">
        <v>1056</v>
      </c>
      <c r="F181" s="35" t="s">
        <v>1057</v>
      </c>
      <c r="G181" s="16" t="s">
        <v>1058</v>
      </c>
      <c r="H181" s="31" t="s">
        <v>977</v>
      </c>
      <c r="I181" s="36"/>
      <c r="J181" s="36"/>
      <c r="K181" s="36"/>
      <c r="L181" s="19"/>
      <c r="M181" s="33" t="s">
        <v>1059</v>
      </c>
    </row>
    <row r="182" spans="1:13" ht="182.1" customHeight="1">
      <c r="A182" s="32">
        <v>179</v>
      </c>
      <c r="B182" s="33" t="s">
        <v>1060</v>
      </c>
      <c r="C182" s="34" t="s">
        <v>912</v>
      </c>
      <c r="D182" s="32" t="s">
        <v>913</v>
      </c>
      <c r="E182" s="14" t="s">
        <v>1061</v>
      </c>
      <c r="F182" s="35" t="s">
        <v>1062</v>
      </c>
      <c r="G182" s="16" t="s">
        <v>1063</v>
      </c>
      <c r="H182" s="31" t="s">
        <v>1064</v>
      </c>
      <c r="I182" s="36"/>
      <c r="J182" s="36"/>
      <c r="K182" s="36"/>
      <c r="L182" s="19"/>
      <c r="M182" s="33" t="s">
        <v>1065</v>
      </c>
    </row>
    <row r="183" spans="1:13" ht="200.1" customHeight="1">
      <c r="A183" s="32">
        <v>180</v>
      </c>
      <c r="B183" s="33" t="s">
        <v>1066</v>
      </c>
      <c r="C183" s="34" t="s">
        <v>912</v>
      </c>
      <c r="D183" s="32" t="s">
        <v>913</v>
      </c>
      <c r="E183" s="14" t="s">
        <v>1067</v>
      </c>
      <c r="F183" s="35" t="s">
        <v>1068</v>
      </c>
      <c r="G183" s="16" t="s">
        <v>1069</v>
      </c>
      <c r="H183" s="31" t="s">
        <v>977</v>
      </c>
      <c r="I183" s="36"/>
      <c r="J183" s="36"/>
      <c r="K183" s="36"/>
      <c r="L183" s="19"/>
      <c r="M183" s="33" t="s">
        <v>1070</v>
      </c>
    </row>
    <row r="184" spans="1:13" ht="200.1" customHeight="1">
      <c r="A184" s="32">
        <v>181</v>
      </c>
      <c r="B184" s="33" t="s">
        <v>1071</v>
      </c>
      <c r="C184" s="34" t="s">
        <v>912</v>
      </c>
      <c r="D184" s="32" t="s">
        <v>913</v>
      </c>
      <c r="E184" s="14" t="s">
        <v>1072</v>
      </c>
      <c r="F184" s="35" t="s">
        <v>1073</v>
      </c>
      <c r="G184" s="16" t="s">
        <v>1074</v>
      </c>
      <c r="H184" s="31" t="s">
        <v>1075</v>
      </c>
      <c r="I184" s="36"/>
      <c r="J184" s="36"/>
      <c r="K184" s="36"/>
      <c r="L184" s="19"/>
      <c r="M184" s="33" t="s">
        <v>1076</v>
      </c>
    </row>
    <row r="185" spans="1:13" ht="182.1" customHeight="1">
      <c r="A185" s="32">
        <v>182</v>
      </c>
      <c r="B185" s="33" t="s">
        <v>1077</v>
      </c>
      <c r="C185" s="34" t="s">
        <v>912</v>
      </c>
      <c r="D185" s="32" t="s">
        <v>913</v>
      </c>
      <c r="E185" s="14" t="s">
        <v>1078</v>
      </c>
      <c r="F185" s="35" t="s">
        <v>1079</v>
      </c>
      <c r="G185" s="16" t="s">
        <v>1080</v>
      </c>
      <c r="H185" s="31" t="s">
        <v>1081</v>
      </c>
      <c r="I185" s="36"/>
      <c r="J185" s="36"/>
      <c r="K185" s="36"/>
      <c r="L185" s="19"/>
      <c r="M185" s="33" t="s">
        <v>1082</v>
      </c>
    </row>
    <row r="186" spans="1:13" ht="200.1" customHeight="1">
      <c r="A186" s="32">
        <v>183</v>
      </c>
      <c r="B186" s="33" t="s">
        <v>1083</v>
      </c>
      <c r="C186" s="34" t="s">
        <v>912</v>
      </c>
      <c r="D186" s="32" t="s">
        <v>913</v>
      </c>
      <c r="E186" s="14" t="s">
        <v>1084</v>
      </c>
      <c r="F186" s="35" t="s">
        <v>1085</v>
      </c>
      <c r="G186" s="16" t="s">
        <v>1086</v>
      </c>
      <c r="H186" s="31" t="s">
        <v>1024</v>
      </c>
      <c r="I186" s="36"/>
      <c r="J186" s="36"/>
      <c r="K186" s="36"/>
      <c r="L186" s="19"/>
      <c r="M186" s="33" t="s">
        <v>1087</v>
      </c>
    </row>
    <row r="187" spans="1:13" ht="200.1" customHeight="1">
      <c r="A187" s="32">
        <v>184</v>
      </c>
      <c r="B187" s="33" t="s">
        <v>1088</v>
      </c>
      <c r="C187" s="34" t="s">
        <v>912</v>
      </c>
      <c r="D187" s="32" t="s">
        <v>913</v>
      </c>
      <c r="E187" s="14" t="s">
        <v>1089</v>
      </c>
      <c r="F187" s="35" t="s">
        <v>1090</v>
      </c>
      <c r="G187" s="16" t="s">
        <v>1091</v>
      </c>
      <c r="H187" s="31" t="s">
        <v>959</v>
      </c>
      <c r="I187" s="36"/>
      <c r="J187" s="36"/>
      <c r="K187" s="36"/>
      <c r="L187" s="19"/>
      <c r="M187" s="33" t="s">
        <v>1092</v>
      </c>
    </row>
    <row r="188" spans="1:13" ht="200.1" customHeight="1">
      <c r="A188" s="32">
        <v>185</v>
      </c>
      <c r="B188" s="33" t="s">
        <v>1093</v>
      </c>
      <c r="C188" s="34" t="s">
        <v>912</v>
      </c>
      <c r="D188" s="32" t="s">
        <v>913</v>
      </c>
      <c r="E188" s="14" t="s">
        <v>1094</v>
      </c>
      <c r="F188" s="35" t="s">
        <v>1095</v>
      </c>
      <c r="G188" s="16" t="s">
        <v>1096</v>
      </c>
      <c r="H188" s="31" t="s">
        <v>1097</v>
      </c>
      <c r="I188" s="36"/>
      <c r="J188" s="36"/>
      <c r="K188" s="36"/>
      <c r="L188" s="19"/>
      <c r="M188" s="33" t="s">
        <v>1098</v>
      </c>
    </row>
    <row r="189" spans="1:13" ht="200.1" customHeight="1">
      <c r="A189" s="32">
        <v>186</v>
      </c>
      <c r="B189" s="33" t="s">
        <v>1099</v>
      </c>
      <c r="C189" s="34" t="s">
        <v>912</v>
      </c>
      <c r="D189" s="32" t="s">
        <v>913</v>
      </c>
      <c r="E189" s="14" t="s">
        <v>1100</v>
      </c>
      <c r="F189" s="35" t="s">
        <v>1101</v>
      </c>
      <c r="G189" s="16" t="s">
        <v>1102</v>
      </c>
      <c r="H189" s="31" t="s">
        <v>1103</v>
      </c>
      <c r="I189" s="36"/>
      <c r="J189" s="36"/>
      <c r="K189" s="36"/>
      <c r="L189" s="19"/>
      <c r="M189" s="33" t="s">
        <v>1104</v>
      </c>
    </row>
    <row r="190" spans="1:13" ht="200.1" customHeight="1">
      <c r="A190" s="32">
        <v>187</v>
      </c>
      <c r="B190" s="33" t="s">
        <v>1105</v>
      </c>
      <c r="C190" s="34" t="s">
        <v>912</v>
      </c>
      <c r="D190" s="32" t="s">
        <v>913</v>
      </c>
      <c r="E190" s="14" t="s">
        <v>1106</v>
      </c>
      <c r="F190" s="35" t="s">
        <v>1107</v>
      </c>
      <c r="G190" s="16" t="s">
        <v>1108</v>
      </c>
      <c r="H190" s="31" t="s">
        <v>1109</v>
      </c>
      <c r="I190" s="36"/>
      <c r="J190" s="36"/>
      <c r="K190" s="36"/>
      <c r="L190" s="19"/>
      <c r="M190" s="33" t="s">
        <v>1110</v>
      </c>
    </row>
    <row r="191" spans="1:13" ht="200.1" customHeight="1">
      <c r="A191" s="32">
        <v>188</v>
      </c>
      <c r="B191" s="33" t="s">
        <v>1111</v>
      </c>
      <c r="C191" s="34" t="s">
        <v>912</v>
      </c>
      <c r="D191" s="32" t="s">
        <v>913</v>
      </c>
      <c r="E191" s="14" t="s">
        <v>1112</v>
      </c>
      <c r="F191" s="35" t="s">
        <v>1113</v>
      </c>
      <c r="G191" s="16" t="s">
        <v>1114</v>
      </c>
      <c r="H191" s="31" t="s">
        <v>1115</v>
      </c>
      <c r="I191" s="36"/>
      <c r="J191" s="36"/>
      <c r="K191" s="36"/>
      <c r="L191" s="19"/>
      <c r="M191" s="33" t="s">
        <v>1116</v>
      </c>
    </row>
    <row r="192" spans="1:13" ht="182.1" customHeight="1">
      <c r="A192" s="32">
        <v>189</v>
      </c>
      <c r="B192" s="33" t="s">
        <v>1117</v>
      </c>
      <c r="C192" s="34" t="s">
        <v>912</v>
      </c>
      <c r="D192" s="32" t="s">
        <v>913</v>
      </c>
      <c r="E192" s="14" t="s">
        <v>1118</v>
      </c>
      <c r="F192" s="35" t="s">
        <v>1119</v>
      </c>
      <c r="G192" s="16" t="s">
        <v>1120</v>
      </c>
      <c r="H192" s="31" t="s">
        <v>1081</v>
      </c>
      <c r="I192" s="36"/>
      <c r="J192" s="36"/>
      <c r="K192" s="36"/>
      <c r="L192" s="19"/>
      <c r="M192" s="33" t="s">
        <v>1121</v>
      </c>
    </row>
    <row r="193" spans="1:13" ht="182.1" customHeight="1">
      <c r="A193" s="32">
        <v>190</v>
      </c>
      <c r="B193" s="33" t="s">
        <v>1122</v>
      </c>
      <c r="C193" s="34" t="s">
        <v>912</v>
      </c>
      <c r="D193" s="32" t="s">
        <v>913</v>
      </c>
      <c r="E193" s="14" t="s">
        <v>1123</v>
      </c>
      <c r="F193" s="35" t="s">
        <v>1124</v>
      </c>
      <c r="G193" s="16" t="s">
        <v>1125</v>
      </c>
      <c r="H193" s="31" t="s">
        <v>1081</v>
      </c>
      <c r="I193" s="36"/>
      <c r="J193" s="36"/>
      <c r="K193" s="36"/>
      <c r="L193" s="19"/>
      <c r="M193" s="33" t="s">
        <v>1126</v>
      </c>
    </row>
    <row r="194" spans="1:13" ht="200.1" customHeight="1">
      <c r="A194" s="32">
        <v>191</v>
      </c>
      <c r="B194" s="33" t="s">
        <v>1127</v>
      </c>
      <c r="C194" s="34" t="s">
        <v>912</v>
      </c>
      <c r="D194" s="32" t="s">
        <v>913</v>
      </c>
      <c r="E194" s="14" t="s">
        <v>1128</v>
      </c>
      <c r="F194" s="35" t="s">
        <v>1129</v>
      </c>
      <c r="G194" s="16" t="s">
        <v>1130</v>
      </c>
      <c r="H194" s="31" t="s">
        <v>1024</v>
      </c>
      <c r="I194" s="36"/>
      <c r="J194" s="36"/>
      <c r="K194" s="36"/>
      <c r="L194" s="19"/>
      <c r="M194" s="33" t="s">
        <v>1131</v>
      </c>
    </row>
    <row r="195" spans="1:13" ht="200.1" customHeight="1">
      <c r="A195" s="32">
        <v>192</v>
      </c>
      <c r="B195" s="33" t="s">
        <v>1132</v>
      </c>
      <c r="C195" s="34" t="s">
        <v>912</v>
      </c>
      <c r="D195" s="32" t="s">
        <v>913</v>
      </c>
      <c r="E195" s="14" t="s">
        <v>1133</v>
      </c>
      <c r="F195" s="35" t="s">
        <v>1134</v>
      </c>
      <c r="G195" s="16" t="s">
        <v>1135</v>
      </c>
      <c r="H195" s="31" t="s">
        <v>959</v>
      </c>
      <c r="I195" s="36"/>
      <c r="J195" s="36"/>
      <c r="K195" s="36"/>
      <c r="L195" s="19"/>
      <c r="M195" s="33" t="s">
        <v>1136</v>
      </c>
    </row>
    <row r="196" spans="1:13" ht="200.1" customHeight="1">
      <c r="A196" s="32">
        <v>193</v>
      </c>
      <c r="B196" s="33" t="s">
        <v>1137</v>
      </c>
      <c r="C196" s="34" t="s">
        <v>912</v>
      </c>
      <c r="D196" s="32" t="s">
        <v>913</v>
      </c>
      <c r="E196" s="14" t="s">
        <v>1138</v>
      </c>
      <c r="F196" s="35" t="s">
        <v>1139</v>
      </c>
      <c r="G196" s="16" t="s">
        <v>1140</v>
      </c>
      <c r="H196" s="31" t="s">
        <v>1097</v>
      </c>
      <c r="I196" s="36"/>
      <c r="J196" s="36"/>
      <c r="K196" s="36"/>
      <c r="L196" s="19"/>
      <c r="M196" s="33" t="s">
        <v>1141</v>
      </c>
    </row>
    <row r="197" spans="1:13" ht="200.1" customHeight="1">
      <c r="A197" s="32">
        <v>194</v>
      </c>
      <c r="B197" s="33" t="s">
        <v>1142</v>
      </c>
      <c r="C197" s="34" t="s">
        <v>912</v>
      </c>
      <c r="D197" s="32" t="s">
        <v>913</v>
      </c>
      <c r="E197" s="14" t="s">
        <v>1143</v>
      </c>
      <c r="F197" s="35" t="s">
        <v>1144</v>
      </c>
      <c r="G197" s="16" t="s">
        <v>1145</v>
      </c>
      <c r="H197" s="31" t="s">
        <v>1103</v>
      </c>
      <c r="I197" s="36"/>
      <c r="J197" s="36"/>
      <c r="K197" s="36"/>
      <c r="L197" s="19"/>
      <c r="M197" s="33" t="s">
        <v>1146</v>
      </c>
    </row>
    <row r="198" spans="1:13" ht="200.1" customHeight="1">
      <c r="A198" s="32">
        <v>195</v>
      </c>
      <c r="B198" s="33" t="s">
        <v>1147</v>
      </c>
      <c r="C198" s="34" t="s">
        <v>912</v>
      </c>
      <c r="D198" s="32" t="s">
        <v>913</v>
      </c>
      <c r="E198" s="14" t="s">
        <v>1148</v>
      </c>
      <c r="F198" s="35" t="s">
        <v>1149</v>
      </c>
      <c r="G198" s="16" t="s">
        <v>1150</v>
      </c>
      <c r="H198" s="31" t="s">
        <v>1151</v>
      </c>
      <c r="I198" s="36"/>
      <c r="J198" s="36"/>
      <c r="K198" s="36"/>
      <c r="L198" s="19"/>
      <c r="M198" s="33" t="s">
        <v>1152</v>
      </c>
    </row>
    <row r="199" spans="1:13" ht="200.1" customHeight="1">
      <c r="A199" s="32">
        <v>196</v>
      </c>
      <c r="B199" s="33" t="s">
        <v>1153</v>
      </c>
      <c r="C199" s="34" t="s">
        <v>912</v>
      </c>
      <c r="D199" s="32" t="s">
        <v>913</v>
      </c>
      <c r="E199" s="14" t="s">
        <v>1154</v>
      </c>
      <c r="F199" s="35" t="s">
        <v>1155</v>
      </c>
      <c r="G199" s="16" t="s">
        <v>1156</v>
      </c>
      <c r="H199" s="31" t="s">
        <v>1081</v>
      </c>
      <c r="I199" s="36"/>
      <c r="J199" s="36"/>
      <c r="K199" s="36"/>
      <c r="L199" s="19"/>
      <c r="M199" s="33" t="s">
        <v>1157</v>
      </c>
    </row>
    <row r="200" spans="1:13" ht="200.1" customHeight="1">
      <c r="A200" s="32">
        <v>197</v>
      </c>
      <c r="B200" s="33" t="s">
        <v>1158</v>
      </c>
      <c r="C200" s="34" t="s">
        <v>912</v>
      </c>
      <c r="D200" s="32" t="s">
        <v>913</v>
      </c>
      <c r="E200" s="14" t="s">
        <v>1159</v>
      </c>
      <c r="F200" s="35" t="s">
        <v>1160</v>
      </c>
      <c r="G200" s="16" t="s">
        <v>1161</v>
      </c>
      <c r="H200" s="31" t="s">
        <v>1064</v>
      </c>
      <c r="I200" s="36"/>
      <c r="J200" s="36"/>
      <c r="K200" s="36"/>
      <c r="L200" s="19"/>
      <c r="M200" s="33" t="s">
        <v>1162</v>
      </c>
    </row>
    <row r="201" spans="1:13" ht="200.1" customHeight="1">
      <c r="A201" s="32">
        <v>198</v>
      </c>
      <c r="B201" s="33" t="s">
        <v>1163</v>
      </c>
      <c r="C201" s="34" t="s">
        <v>912</v>
      </c>
      <c r="D201" s="32" t="s">
        <v>913</v>
      </c>
      <c r="E201" s="14" t="s">
        <v>1164</v>
      </c>
      <c r="F201" s="35" t="s">
        <v>1165</v>
      </c>
      <c r="G201" s="16" t="s">
        <v>1166</v>
      </c>
      <c r="H201" s="31" t="s">
        <v>1167</v>
      </c>
      <c r="I201" s="36"/>
      <c r="J201" s="36"/>
      <c r="K201" s="36"/>
      <c r="L201" s="19"/>
      <c r="M201" s="33" t="s">
        <v>1168</v>
      </c>
    </row>
    <row r="202" spans="1:13" ht="182.1" customHeight="1">
      <c r="A202" s="32">
        <v>199</v>
      </c>
      <c r="B202" s="33" t="s">
        <v>1169</v>
      </c>
      <c r="C202" s="34" t="s">
        <v>912</v>
      </c>
      <c r="D202" s="32" t="s">
        <v>913</v>
      </c>
      <c r="E202" s="14" t="s">
        <v>1170</v>
      </c>
      <c r="F202" s="35" t="s">
        <v>1171</v>
      </c>
      <c r="G202" s="16" t="s">
        <v>1172</v>
      </c>
      <c r="H202" s="31" t="s">
        <v>1081</v>
      </c>
      <c r="I202" s="36"/>
      <c r="J202" s="36"/>
      <c r="K202" s="36"/>
      <c r="L202" s="19"/>
      <c r="M202" s="33" t="s">
        <v>1173</v>
      </c>
    </row>
    <row r="203" spans="1:13" ht="182.1" customHeight="1">
      <c r="A203" s="32">
        <v>200</v>
      </c>
      <c r="B203" s="33" t="s">
        <v>1174</v>
      </c>
      <c r="C203" s="34" t="s">
        <v>912</v>
      </c>
      <c r="D203" s="32" t="s">
        <v>913</v>
      </c>
      <c r="E203" s="14" t="s">
        <v>1175</v>
      </c>
      <c r="F203" s="35" t="s">
        <v>1176</v>
      </c>
      <c r="G203" s="16" t="s">
        <v>1177</v>
      </c>
      <c r="H203" s="31" t="s">
        <v>1178</v>
      </c>
      <c r="I203" s="36"/>
      <c r="J203" s="36"/>
      <c r="K203" s="36"/>
      <c r="L203" s="19"/>
      <c r="M203" s="33" t="s">
        <v>1179</v>
      </c>
    </row>
    <row r="204" spans="1:13" ht="200.1" customHeight="1">
      <c r="A204" s="32">
        <v>201</v>
      </c>
      <c r="B204" s="33" t="s">
        <v>1180</v>
      </c>
      <c r="C204" s="34" t="s">
        <v>912</v>
      </c>
      <c r="D204" s="32" t="s">
        <v>913</v>
      </c>
      <c r="E204" s="14" t="s">
        <v>1181</v>
      </c>
      <c r="F204" s="35" t="s">
        <v>1182</v>
      </c>
      <c r="G204" s="16" t="s">
        <v>1183</v>
      </c>
      <c r="H204" s="31" t="s">
        <v>1001</v>
      </c>
      <c r="I204" s="36"/>
      <c r="J204" s="36"/>
      <c r="K204" s="36"/>
      <c r="L204" s="19"/>
      <c r="M204" s="33" t="s">
        <v>1184</v>
      </c>
    </row>
  </sheetData>
  <autoFilter ref="A3:M204" xr:uid="{00000000-0009-0000-0000-000001000000}"/>
  <mergeCells count="8">
    <mergeCell ref="L2:M2"/>
    <mergeCell ref="A1:D1"/>
    <mergeCell ref="I2:K2"/>
    <mergeCell ref="I1:K1"/>
    <mergeCell ref="L1:M1"/>
    <mergeCell ref="A2:D2"/>
    <mergeCell ref="E1:H1"/>
    <mergeCell ref="E2:H2"/>
  </mergeCells>
  <conditionalFormatting sqref="I4:I204">
    <cfRule type="cellIs" dxfId="8" priority="1" operator="equal">
      <formula>"V"</formula>
    </cfRule>
    <cfRule type="cellIs" dxfId="7" priority="2" operator="equal">
      <formula>"v"</formula>
    </cfRule>
  </conditionalFormatting>
  <conditionalFormatting sqref="J4:J204">
    <cfRule type="cellIs" dxfId="6" priority="3" operator="equal">
      <formula>"V"</formula>
    </cfRule>
    <cfRule type="cellIs" dxfId="5" priority="4" operator="equal">
      <formula>"v"</formula>
    </cfRule>
  </conditionalFormatting>
  <conditionalFormatting sqref="K4:K204">
    <cfRule type="cellIs" dxfId="4" priority="5" operator="equal">
      <formula>"V"</formula>
    </cfRule>
    <cfRule type="cellIs" dxfId="3" priority="6" operator="equal">
      <formula>"v"</formula>
    </cfRule>
  </conditionalFormatting>
  <conditionalFormatting sqref="A4:M204">
    <cfRule type="expression" dxfId="2" priority="7">
      <formula>OR($I4="V",$I4="v")</formula>
    </cfRule>
    <cfRule type="expression" dxfId="1" priority="8">
      <formula>OR($J4="V",$J4="v")</formula>
    </cfRule>
    <cfRule type="expression" dxfId="0" priority="9">
      <formula>OR($K4="V",$K4="v")</formula>
    </cfRule>
  </conditionalFormatting>
  <dataValidations count="2">
    <dataValidation type="list" allowBlank="1" showInputMessage="1" showErrorMessage="1" errorTitle="유효하지 않은 입력" error="체크하려면 V 한 글자만 입력" promptTitle="판정" prompt="V 입력 → 체크" sqref="I4:K204" xr:uid="{00000000-0002-0000-0100-000000000000}">
      <formula1>"V,v"</formula1>
    </dataValidation>
    <dataValidation type="list" allowBlank="1" showInputMessage="1" promptTitle="메모" prompt="프리셋 선택 또는 자유 입력" sqref="L4:L204" xr:uid="{00000000-0002-0000-0100-000001000000}">
      <formula1>"✅ 동의 — 정답 action 타당,⚠️ 정답 일부 수정 필요,❗ 핵심 조건 누락,📉 대화 맥락 부족,🔄 더 구체적 확인 필요,🚫 학습 가치 없음"</formula1>
    </dataValidation>
  </dataValidations>
  <printOptions horizontalCentered="1"/>
  <pageMargins left="0.3" right="0.3"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2"/>
  <sheetViews>
    <sheetView workbookViewId="0">
      <pane xSplit="1" ySplit="1" topLeftCell="B2" activePane="bottomRight" state="frozen"/>
      <selection pane="bottomRight"/>
      <selection pane="bottomLeft"/>
      <selection pane="topRight"/>
    </sheetView>
  </sheetViews>
  <sheetFormatPr defaultRowHeight="15"/>
  <cols>
    <col min="1" max="1" width="12" customWidth="1"/>
    <col min="2" max="2" width="30" customWidth="1"/>
    <col min="3" max="4" width="22" customWidth="1"/>
    <col min="5" max="5" width="6" customWidth="1"/>
    <col min="6" max="6" width="20" customWidth="1"/>
    <col min="7" max="7" width="10" customWidth="1"/>
    <col min="8" max="8" width="26" customWidth="1"/>
    <col min="9" max="9" width="60" customWidth="1"/>
    <col min="10" max="10" width="30" customWidth="1"/>
    <col min="11" max="11" width="60" customWidth="1"/>
    <col min="12" max="12" width="26" customWidth="1"/>
    <col min="13" max="13" width="10" customWidth="1"/>
  </cols>
  <sheetData>
    <row r="1" spans="1:13" ht="27.95" customHeight="1">
      <c r="A1" s="37" t="s">
        <v>45</v>
      </c>
      <c r="B1" s="37" t="s">
        <v>1185</v>
      </c>
      <c r="C1" s="37" t="s">
        <v>1186</v>
      </c>
      <c r="D1" s="37" t="s">
        <v>1187</v>
      </c>
      <c r="E1" s="37" t="s">
        <v>1188</v>
      </c>
      <c r="F1" s="37" t="s">
        <v>1189</v>
      </c>
      <c r="G1" s="37" t="s">
        <v>1190</v>
      </c>
      <c r="H1" s="37" t="s">
        <v>1191</v>
      </c>
      <c r="I1" s="37" t="s">
        <v>1192</v>
      </c>
      <c r="J1" s="37" t="s">
        <v>1193</v>
      </c>
      <c r="K1" s="37" t="s">
        <v>1194</v>
      </c>
      <c r="L1" s="37" t="s">
        <v>1195</v>
      </c>
      <c r="M1" s="37" t="s">
        <v>1196</v>
      </c>
    </row>
    <row r="2" spans="1:13" ht="27.95" customHeight="1">
      <c r="A2" s="38" t="s">
        <v>57</v>
      </c>
      <c r="B2" s="38" t="s">
        <v>64</v>
      </c>
      <c r="C2" s="38" t="s">
        <v>1197</v>
      </c>
      <c r="D2" s="38" t="s">
        <v>1198</v>
      </c>
      <c r="E2" s="39"/>
      <c r="F2" s="38"/>
      <c r="G2" s="39"/>
      <c r="H2" s="38"/>
      <c r="I2" s="38" t="s">
        <v>1199</v>
      </c>
      <c r="J2" s="38" t="s">
        <v>1199</v>
      </c>
      <c r="K2" s="40"/>
      <c r="L2" s="38"/>
      <c r="M2" s="39" t="b">
        <v>0</v>
      </c>
    </row>
    <row r="3" spans="1:13" ht="27.95" customHeight="1">
      <c r="A3" s="38" t="s">
        <v>65</v>
      </c>
      <c r="B3" s="38" t="s">
        <v>70</v>
      </c>
      <c r="C3" s="38" t="s">
        <v>1200</v>
      </c>
      <c r="D3" s="38" t="s">
        <v>1201</v>
      </c>
      <c r="E3" s="39"/>
      <c r="F3" s="38"/>
      <c r="G3" s="39"/>
      <c r="H3" s="38"/>
      <c r="I3" s="38" t="s">
        <v>1199</v>
      </c>
      <c r="J3" s="38" t="s">
        <v>1199</v>
      </c>
      <c r="K3" s="40"/>
      <c r="L3" s="38"/>
      <c r="M3" s="39" t="b">
        <v>0</v>
      </c>
    </row>
    <row r="4" spans="1:13" ht="27.95" customHeight="1">
      <c r="A4" s="38" t="s">
        <v>71</v>
      </c>
      <c r="B4" s="38" t="s">
        <v>76</v>
      </c>
      <c r="C4" s="38" t="s">
        <v>1202</v>
      </c>
      <c r="D4" s="38" t="s">
        <v>1203</v>
      </c>
      <c r="E4" s="39"/>
      <c r="F4" s="38"/>
      <c r="G4" s="39"/>
      <c r="H4" s="38"/>
      <c r="I4" s="38" t="s">
        <v>1199</v>
      </c>
      <c r="J4" s="38" t="s">
        <v>1199</v>
      </c>
      <c r="K4" s="40"/>
      <c r="L4" s="38"/>
      <c r="M4" s="39" t="b">
        <v>0</v>
      </c>
    </row>
    <row r="5" spans="1:13" ht="27.95" customHeight="1">
      <c r="A5" s="38" t="s">
        <v>77</v>
      </c>
      <c r="B5" s="38" t="s">
        <v>82</v>
      </c>
      <c r="C5" s="38" t="s">
        <v>1204</v>
      </c>
      <c r="D5" s="38" t="s">
        <v>1205</v>
      </c>
      <c r="E5" s="39"/>
      <c r="F5" s="38"/>
      <c r="G5" s="39"/>
      <c r="H5" s="38"/>
      <c r="I5" s="38" t="s">
        <v>1199</v>
      </c>
      <c r="J5" s="38" t="s">
        <v>1199</v>
      </c>
      <c r="K5" s="40"/>
      <c r="L5" s="38"/>
      <c r="M5" s="39" t="b">
        <v>0</v>
      </c>
    </row>
    <row r="6" spans="1:13" ht="27.95" customHeight="1">
      <c r="A6" s="38" t="s">
        <v>83</v>
      </c>
      <c r="B6" s="38" t="s">
        <v>88</v>
      </c>
      <c r="C6" s="38" t="s">
        <v>1206</v>
      </c>
      <c r="D6" s="38" t="s">
        <v>1207</v>
      </c>
      <c r="E6" s="39"/>
      <c r="F6" s="38"/>
      <c r="G6" s="39"/>
      <c r="H6" s="38"/>
      <c r="I6" s="38" t="s">
        <v>1199</v>
      </c>
      <c r="J6" s="38" t="s">
        <v>1199</v>
      </c>
      <c r="K6" s="40"/>
      <c r="L6" s="38"/>
      <c r="M6" s="39" t="b">
        <v>0</v>
      </c>
    </row>
    <row r="7" spans="1:13" ht="27.95" customHeight="1">
      <c r="A7" s="38" t="s">
        <v>89</v>
      </c>
      <c r="B7" s="38" t="s">
        <v>94</v>
      </c>
      <c r="C7" s="38" t="s">
        <v>1208</v>
      </c>
      <c r="D7" s="38" t="s">
        <v>1209</v>
      </c>
      <c r="E7" s="39"/>
      <c r="F7" s="38"/>
      <c r="G7" s="39"/>
      <c r="H7" s="38"/>
      <c r="I7" s="38" t="s">
        <v>1199</v>
      </c>
      <c r="J7" s="38" t="s">
        <v>1199</v>
      </c>
      <c r="K7" s="40"/>
      <c r="L7" s="38"/>
      <c r="M7" s="39" t="b">
        <v>0</v>
      </c>
    </row>
    <row r="8" spans="1:13" ht="27.95" customHeight="1">
      <c r="A8" s="38" t="s">
        <v>95</v>
      </c>
      <c r="B8" s="38" t="s">
        <v>100</v>
      </c>
      <c r="C8" s="38"/>
      <c r="D8" s="38" t="s">
        <v>1210</v>
      </c>
      <c r="E8" s="39"/>
      <c r="F8" s="38"/>
      <c r="G8" s="39"/>
      <c r="H8" s="38"/>
      <c r="I8" s="38" t="s">
        <v>1199</v>
      </c>
      <c r="J8" s="38" t="s">
        <v>1199</v>
      </c>
      <c r="K8" s="40"/>
      <c r="L8" s="38"/>
      <c r="M8" s="39" t="b">
        <v>0</v>
      </c>
    </row>
    <row r="9" spans="1:13" ht="27.95" customHeight="1">
      <c r="A9" s="38" t="s">
        <v>101</v>
      </c>
      <c r="B9" s="38" t="s">
        <v>106</v>
      </c>
      <c r="C9" s="38" t="s">
        <v>1211</v>
      </c>
      <c r="D9" s="38" t="s">
        <v>1212</v>
      </c>
      <c r="E9" s="39"/>
      <c r="F9" s="38"/>
      <c r="G9" s="39"/>
      <c r="H9" s="38"/>
      <c r="I9" s="38" t="s">
        <v>1199</v>
      </c>
      <c r="J9" s="38" t="s">
        <v>1199</v>
      </c>
      <c r="K9" s="40"/>
      <c r="L9" s="38"/>
      <c r="M9" s="39" t="b">
        <v>0</v>
      </c>
    </row>
    <row r="10" spans="1:13" ht="27.95" customHeight="1">
      <c r="A10" s="38" t="s">
        <v>107</v>
      </c>
      <c r="B10" s="38" t="s">
        <v>112</v>
      </c>
      <c r="C10" s="38" t="s">
        <v>1211</v>
      </c>
      <c r="D10" s="38" t="s">
        <v>1213</v>
      </c>
      <c r="E10" s="39"/>
      <c r="F10" s="38"/>
      <c r="G10" s="39"/>
      <c r="H10" s="38"/>
      <c r="I10" s="38" t="s">
        <v>1199</v>
      </c>
      <c r="J10" s="38" t="s">
        <v>1199</v>
      </c>
      <c r="K10" s="40"/>
      <c r="L10" s="38"/>
      <c r="M10" s="39" t="b">
        <v>0</v>
      </c>
    </row>
    <row r="11" spans="1:13" ht="27.95" customHeight="1">
      <c r="A11" s="38" t="s">
        <v>113</v>
      </c>
      <c r="B11" s="38" t="s">
        <v>118</v>
      </c>
      <c r="C11" s="38" t="s">
        <v>1214</v>
      </c>
      <c r="D11" s="38" t="s">
        <v>1215</v>
      </c>
      <c r="E11" s="39"/>
      <c r="F11" s="38"/>
      <c r="G11" s="39"/>
      <c r="H11" s="38"/>
      <c r="I11" s="38" t="s">
        <v>1199</v>
      </c>
      <c r="J11" s="38" t="s">
        <v>1199</v>
      </c>
      <c r="K11" s="40"/>
      <c r="L11" s="38"/>
      <c r="M11" s="39" t="b">
        <v>0</v>
      </c>
    </row>
    <row r="12" spans="1:13" ht="27.95" customHeight="1">
      <c r="A12" s="38" t="s">
        <v>119</v>
      </c>
      <c r="B12" s="38" t="s">
        <v>124</v>
      </c>
      <c r="C12" s="38" t="s">
        <v>1216</v>
      </c>
      <c r="D12" s="38" t="s">
        <v>1217</v>
      </c>
      <c r="E12" s="39"/>
      <c r="F12" s="38"/>
      <c r="G12" s="39"/>
      <c r="H12" s="38"/>
      <c r="I12" s="38" t="s">
        <v>1199</v>
      </c>
      <c r="J12" s="38" t="s">
        <v>1199</v>
      </c>
      <c r="K12" s="40"/>
      <c r="L12" s="38"/>
      <c r="M12" s="39" t="b">
        <v>0</v>
      </c>
    </row>
    <row r="13" spans="1:13" ht="27.95" customHeight="1">
      <c r="A13" s="38" t="s">
        <v>125</v>
      </c>
      <c r="B13" s="38" t="s">
        <v>130</v>
      </c>
      <c r="C13" s="38" t="s">
        <v>1218</v>
      </c>
      <c r="D13" s="38" t="s">
        <v>1219</v>
      </c>
      <c r="E13" s="39"/>
      <c r="F13" s="38"/>
      <c r="G13" s="39"/>
      <c r="H13" s="38"/>
      <c r="I13" s="38" t="s">
        <v>1199</v>
      </c>
      <c r="J13" s="38" t="s">
        <v>1199</v>
      </c>
      <c r="K13" s="40"/>
      <c r="L13" s="38"/>
      <c r="M13" s="39" t="b">
        <v>0</v>
      </c>
    </row>
    <row r="14" spans="1:13" ht="27.95" customHeight="1">
      <c r="A14" s="38" t="s">
        <v>131</v>
      </c>
      <c r="B14" s="38" t="s">
        <v>136</v>
      </c>
      <c r="C14" s="38" t="s">
        <v>1220</v>
      </c>
      <c r="D14" s="38" t="s">
        <v>1221</v>
      </c>
      <c r="E14" s="39"/>
      <c r="F14" s="38"/>
      <c r="G14" s="39"/>
      <c r="H14" s="38"/>
      <c r="I14" s="38" t="s">
        <v>1199</v>
      </c>
      <c r="J14" s="38" t="s">
        <v>1199</v>
      </c>
      <c r="K14" s="40"/>
      <c r="L14" s="38"/>
      <c r="M14" s="39" t="b">
        <v>0</v>
      </c>
    </row>
    <row r="15" spans="1:13" ht="27.95" customHeight="1">
      <c r="A15" s="38" t="s">
        <v>137</v>
      </c>
      <c r="B15" s="38" t="s">
        <v>141</v>
      </c>
      <c r="C15" s="38" t="s">
        <v>1220</v>
      </c>
      <c r="D15" s="38" t="s">
        <v>1222</v>
      </c>
      <c r="E15" s="39"/>
      <c r="F15" s="38"/>
      <c r="G15" s="39"/>
      <c r="H15" s="38"/>
      <c r="I15" s="38" t="s">
        <v>1199</v>
      </c>
      <c r="J15" s="38" t="s">
        <v>1199</v>
      </c>
      <c r="K15" s="40"/>
      <c r="L15" s="38"/>
      <c r="M15" s="39" t="b">
        <v>0</v>
      </c>
    </row>
    <row r="16" spans="1:13" ht="27.95" customHeight="1">
      <c r="A16" s="38" t="s">
        <v>142</v>
      </c>
      <c r="B16" s="38" t="s">
        <v>147</v>
      </c>
      <c r="C16" s="38" t="s">
        <v>1223</v>
      </c>
      <c r="D16" s="38" t="s">
        <v>1224</v>
      </c>
      <c r="E16" s="39"/>
      <c r="F16" s="38"/>
      <c r="G16" s="39"/>
      <c r="H16" s="38"/>
      <c r="I16" s="38" t="s">
        <v>1199</v>
      </c>
      <c r="J16" s="38" t="s">
        <v>1199</v>
      </c>
      <c r="K16" s="40"/>
      <c r="L16" s="38"/>
      <c r="M16" s="39" t="b">
        <v>0</v>
      </c>
    </row>
    <row r="17" spans="1:13" ht="27.95" customHeight="1">
      <c r="A17" s="38" t="s">
        <v>148</v>
      </c>
      <c r="B17" s="38" t="s">
        <v>153</v>
      </c>
      <c r="C17" s="38" t="s">
        <v>1225</v>
      </c>
      <c r="D17" s="38" t="s">
        <v>1226</v>
      </c>
      <c r="E17" s="39"/>
      <c r="F17" s="38"/>
      <c r="G17" s="39"/>
      <c r="H17" s="38"/>
      <c r="I17" s="38" t="s">
        <v>1199</v>
      </c>
      <c r="J17" s="38" t="s">
        <v>1199</v>
      </c>
      <c r="K17" s="40"/>
      <c r="L17" s="38"/>
      <c r="M17" s="39" t="b">
        <v>0</v>
      </c>
    </row>
    <row r="18" spans="1:13" ht="27.95" customHeight="1">
      <c r="A18" s="38" t="s">
        <v>154</v>
      </c>
      <c r="B18" s="38" t="s">
        <v>159</v>
      </c>
      <c r="C18" s="38" t="s">
        <v>1227</v>
      </c>
      <c r="D18" s="38" t="s">
        <v>1228</v>
      </c>
      <c r="E18" s="39"/>
      <c r="F18" s="38"/>
      <c r="G18" s="39"/>
      <c r="H18" s="38"/>
      <c r="I18" s="38" t="s">
        <v>1199</v>
      </c>
      <c r="J18" s="38" t="s">
        <v>1199</v>
      </c>
      <c r="K18" s="40"/>
      <c r="L18" s="38"/>
      <c r="M18" s="39" t="b">
        <v>0</v>
      </c>
    </row>
    <row r="19" spans="1:13" ht="27.95" customHeight="1">
      <c r="A19" s="38" t="s">
        <v>160</v>
      </c>
      <c r="B19" s="38" t="s">
        <v>165</v>
      </c>
      <c r="C19" s="38" t="s">
        <v>1227</v>
      </c>
      <c r="D19" s="38" t="s">
        <v>1229</v>
      </c>
      <c r="E19" s="39"/>
      <c r="F19" s="38"/>
      <c r="G19" s="39"/>
      <c r="H19" s="38"/>
      <c r="I19" s="38" t="s">
        <v>1199</v>
      </c>
      <c r="J19" s="38" t="s">
        <v>1199</v>
      </c>
      <c r="K19" s="40"/>
      <c r="L19" s="38"/>
      <c r="M19" s="39" t="b">
        <v>0</v>
      </c>
    </row>
    <row r="20" spans="1:13" ht="27.95" customHeight="1">
      <c r="A20" s="38" t="s">
        <v>166</v>
      </c>
      <c r="B20" s="38" t="s">
        <v>171</v>
      </c>
      <c r="C20" s="38" t="s">
        <v>1230</v>
      </c>
      <c r="D20" s="38" t="s">
        <v>1231</v>
      </c>
      <c r="E20" s="39"/>
      <c r="F20" s="38"/>
      <c r="G20" s="39"/>
      <c r="H20" s="38"/>
      <c r="I20" s="38" t="s">
        <v>1199</v>
      </c>
      <c r="J20" s="38" t="s">
        <v>1199</v>
      </c>
      <c r="K20" s="40"/>
      <c r="L20" s="38"/>
      <c r="M20" s="39" t="b">
        <v>0</v>
      </c>
    </row>
    <row r="21" spans="1:13" ht="27.95" customHeight="1">
      <c r="A21" s="38" t="s">
        <v>172</v>
      </c>
      <c r="B21" s="38" t="s">
        <v>177</v>
      </c>
      <c r="C21" s="38" t="s">
        <v>1232</v>
      </c>
      <c r="D21" s="38" t="s">
        <v>1233</v>
      </c>
      <c r="E21" s="39"/>
      <c r="F21" s="38"/>
      <c r="G21" s="39"/>
      <c r="H21" s="38"/>
      <c r="I21" s="38" t="s">
        <v>1199</v>
      </c>
      <c r="J21" s="38" t="s">
        <v>1199</v>
      </c>
      <c r="K21" s="40"/>
      <c r="L21" s="38"/>
      <c r="M21" s="39" t="b">
        <v>0</v>
      </c>
    </row>
    <row r="22" spans="1:13" ht="27.95" customHeight="1">
      <c r="A22" s="38" t="s">
        <v>178</v>
      </c>
      <c r="B22" s="38" t="s">
        <v>183</v>
      </c>
      <c r="C22" s="38" t="s">
        <v>1234</v>
      </c>
      <c r="D22" s="38" t="s">
        <v>1235</v>
      </c>
      <c r="E22" s="39"/>
      <c r="F22" s="38"/>
      <c r="G22" s="39"/>
      <c r="H22" s="38"/>
      <c r="I22" s="38" t="s">
        <v>1199</v>
      </c>
      <c r="J22" s="38" t="s">
        <v>1199</v>
      </c>
      <c r="K22" s="40"/>
      <c r="L22" s="38"/>
      <c r="M22" s="39" t="b">
        <v>0</v>
      </c>
    </row>
    <row r="23" spans="1:13" ht="27.95" customHeight="1">
      <c r="A23" s="38" t="s">
        <v>184</v>
      </c>
      <c r="B23" s="38" t="s">
        <v>189</v>
      </c>
      <c r="C23" s="38" t="s">
        <v>1236</v>
      </c>
      <c r="D23" s="38" t="s">
        <v>1237</v>
      </c>
      <c r="E23" s="39"/>
      <c r="F23" s="38"/>
      <c r="G23" s="39"/>
      <c r="H23" s="38"/>
      <c r="I23" s="38" t="s">
        <v>1199</v>
      </c>
      <c r="J23" s="38" t="s">
        <v>1199</v>
      </c>
      <c r="K23" s="40"/>
      <c r="L23" s="38"/>
      <c r="M23" s="39" t="b">
        <v>0</v>
      </c>
    </row>
    <row r="24" spans="1:13" ht="27.95" customHeight="1">
      <c r="A24" s="38" t="s">
        <v>190</v>
      </c>
      <c r="B24" s="38" t="s">
        <v>194</v>
      </c>
      <c r="C24" s="38" t="s">
        <v>1236</v>
      </c>
      <c r="D24" s="38" t="s">
        <v>1238</v>
      </c>
      <c r="E24" s="39"/>
      <c r="F24" s="38"/>
      <c r="G24" s="39"/>
      <c r="H24" s="38"/>
      <c r="I24" s="38" t="s">
        <v>1199</v>
      </c>
      <c r="J24" s="38" t="s">
        <v>1199</v>
      </c>
      <c r="K24" s="40"/>
      <c r="L24" s="38"/>
      <c r="M24" s="39" t="b">
        <v>0</v>
      </c>
    </row>
    <row r="25" spans="1:13" ht="27.95" customHeight="1">
      <c r="A25" s="38" t="s">
        <v>195</v>
      </c>
      <c r="B25" s="38" t="s">
        <v>200</v>
      </c>
      <c r="C25" s="38" t="s">
        <v>1239</v>
      </c>
      <c r="D25" s="38" t="s">
        <v>1240</v>
      </c>
      <c r="E25" s="39"/>
      <c r="F25" s="38"/>
      <c r="G25" s="39"/>
      <c r="H25" s="38"/>
      <c r="I25" s="38" t="s">
        <v>1199</v>
      </c>
      <c r="J25" s="38" t="s">
        <v>1199</v>
      </c>
      <c r="K25" s="40"/>
      <c r="L25" s="38"/>
      <c r="M25" s="39" t="b">
        <v>0</v>
      </c>
    </row>
    <row r="26" spans="1:13" ht="27.95" customHeight="1">
      <c r="A26" s="38" t="s">
        <v>201</v>
      </c>
      <c r="B26" s="38" t="s">
        <v>206</v>
      </c>
      <c r="C26" s="38" t="s">
        <v>1241</v>
      </c>
      <c r="D26" s="38" t="s">
        <v>1242</v>
      </c>
      <c r="E26" s="39"/>
      <c r="F26" s="38"/>
      <c r="G26" s="39"/>
      <c r="H26" s="38"/>
      <c r="I26" s="38" t="s">
        <v>1199</v>
      </c>
      <c r="J26" s="38" t="s">
        <v>1199</v>
      </c>
      <c r="K26" s="40"/>
      <c r="L26" s="38"/>
      <c r="M26" s="39" t="b">
        <v>0</v>
      </c>
    </row>
    <row r="27" spans="1:13" ht="27.95" customHeight="1">
      <c r="A27" s="38" t="s">
        <v>207</v>
      </c>
      <c r="B27" s="38" t="s">
        <v>212</v>
      </c>
      <c r="C27" s="38" t="s">
        <v>1241</v>
      </c>
      <c r="D27" s="38" t="s">
        <v>1243</v>
      </c>
      <c r="E27" s="39"/>
      <c r="F27" s="38"/>
      <c r="G27" s="39"/>
      <c r="H27" s="38"/>
      <c r="I27" s="38" t="s">
        <v>1199</v>
      </c>
      <c r="J27" s="38" t="s">
        <v>1199</v>
      </c>
      <c r="K27" s="40"/>
      <c r="L27" s="38"/>
      <c r="M27" s="39" t="b">
        <v>0</v>
      </c>
    </row>
    <row r="28" spans="1:13" ht="27.95" customHeight="1">
      <c r="A28" s="38" t="s">
        <v>213</v>
      </c>
      <c r="B28" s="38" t="s">
        <v>218</v>
      </c>
      <c r="C28" s="38" t="s">
        <v>1244</v>
      </c>
      <c r="D28" s="38" t="s">
        <v>1245</v>
      </c>
      <c r="E28" s="39"/>
      <c r="F28" s="38"/>
      <c r="G28" s="39"/>
      <c r="H28" s="38"/>
      <c r="I28" s="38" t="s">
        <v>1199</v>
      </c>
      <c r="J28" s="38" t="s">
        <v>1199</v>
      </c>
      <c r="K28" s="40"/>
      <c r="L28" s="38"/>
      <c r="M28" s="39" t="b">
        <v>0</v>
      </c>
    </row>
    <row r="29" spans="1:13" ht="27.95" customHeight="1">
      <c r="A29" s="38" t="s">
        <v>219</v>
      </c>
      <c r="B29" s="38" t="s">
        <v>224</v>
      </c>
      <c r="C29" s="38" t="s">
        <v>1246</v>
      </c>
      <c r="D29" s="38" t="s">
        <v>1247</v>
      </c>
      <c r="E29" s="39"/>
      <c r="F29" s="38"/>
      <c r="G29" s="39"/>
      <c r="H29" s="38"/>
      <c r="I29" s="38" t="s">
        <v>1199</v>
      </c>
      <c r="J29" s="38" t="s">
        <v>1199</v>
      </c>
      <c r="K29" s="40"/>
      <c r="L29" s="38"/>
      <c r="M29" s="39" t="b">
        <v>0</v>
      </c>
    </row>
    <row r="30" spans="1:13" ht="27.95" customHeight="1">
      <c r="A30" s="38" t="s">
        <v>225</v>
      </c>
      <c r="B30" s="38" t="s">
        <v>230</v>
      </c>
      <c r="C30" s="38" t="s">
        <v>1246</v>
      </c>
      <c r="D30" s="38" t="s">
        <v>1248</v>
      </c>
      <c r="E30" s="39"/>
      <c r="F30" s="38"/>
      <c r="G30" s="39"/>
      <c r="H30" s="38"/>
      <c r="I30" s="38" t="s">
        <v>1199</v>
      </c>
      <c r="J30" s="38" t="s">
        <v>1199</v>
      </c>
      <c r="K30" s="40"/>
      <c r="L30" s="38"/>
      <c r="M30" s="39" t="b">
        <v>0</v>
      </c>
    </row>
    <row r="31" spans="1:13" ht="27.95" customHeight="1">
      <c r="A31" s="38" t="s">
        <v>231</v>
      </c>
      <c r="B31" s="38" t="s">
        <v>235</v>
      </c>
      <c r="C31" s="38" t="s">
        <v>1246</v>
      </c>
      <c r="D31" s="38" t="s">
        <v>1249</v>
      </c>
      <c r="E31" s="39"/>
      <c r="F31" s="38"/>
      <c r="G31" s="39"/>
      <c r="H31" s="38"/>
      <c r="I31" s="38" t="s">
        <v>1199</v>
      </c>
      <c r="J31" s="38" t="s">
        <v>1199</v>
      </c>
      <c r="K31" s="40"/>
      <c r="L31" s="38"/>
      <c r="M31" s="39" t="b">
        <v>0</v>
      </c>
    </row>
    <row r="32" spans="1:13" ht="27.95" customHeight="1">
      <c r="A32" s="38" t="s">
        <v>236</v>
      </c>
      <c r="B32" s="38" t="s">
        <v>241</v>
      </c>
      <c r="C32" s="38" t="s">
        <v>1250</v>
      </c>
      <c r="D32" s="38" t="s">
        <v>1251</v>
      </c>
      <c r="E32" s="39"/>
      <c r="F32" s="38"/>
      <c r="G32" s="39"/>
      <c r="H32" s="38"/>
      <c r="I32" s="38" t="s">
        <v>1199</v>
      </c>
      <c r="J32" s="38" t="s">
        <v>1199</v>
      </c>
      <c r="K32" s="40"/>
      <c r="L32" s="38"/>
      <c r="M32" s="39" t="b">
        <v>0</v>
      </c>
    </row>
    <row r="33" spans="1:13" ht="27.95" customHeight="1">
      <c r="A33" s="38" t="s">
        <v>242</v>
      </c>
      <c r="B33" s="38" t="s">
        <v>247</v>
      </c>
      <c r="C33" s="38" t="s">
        <v>1252</v>
      </c>
      <c r="D33" s="38" t="s">
        <v>1253</v>
      </c>
      <c r="E33" s="39"/>
      <c r="F33" s="38"/>
      <c r="G33" s="39"/>
      <c r="H33" s="38"/>
      <c r="I33" s="38" t="s">
        <v>1199</v>
      </c>
      <c r="J33" s="38" t="s">
        <v>1199</v>
      </c>
      <c r="K33" s="40"/>
      <c r="L33" s="38"/>
      <c r="M33" s="39" t="b">
        <v>0</v>
      </c>
    </row>
    <row r="34" spans="1:13" ht="27.95" customHeight="1">
      <c r="A34" s="38" t="s">
        <v>248</v>
      </c>
      <c r="B34" s="38" t="s">
        <v>253</v>
      </c>
      <c r="C34" s="38" t="s">
        <v>1252</v>
      </c>
      <c r="D34" s="38" t="s">
        <v>1254</v>
      </c>
      <c r="E34" s="39"/>
      <c r="F34" s="38"/>
      <c r="G34" s="39"/>
      <c r="H34" s="38"/>
      <c r="I34" s="38" t="s">
        <v>1199</v>
      </c>
      <c r="J34" s="38" t="s">
        <v>1199</v>
      </c>
      <c r="K34" s="40"/>
      <c r="L34" s="38"/>
      <c r="M34" s="39" t="b">
        <v>0</v>
      </c>
    </row>
    <row r="35" spans="1:13" ht="27.95" customHeight="1">
      <c r="A35" s="38" t="s">
        <v>254</v>
      </c>
      <c r="B35" s="38" t="s">
        <v>259</v>
      </c>
      <c r="C35" s="38" t="s">
        <v>1255</v>
      </c>
      <c r="D35" s="38" t="s">
        <v>1256</v>
      </c>
      <c r="E35" s="39"/>
      <c r="F35" s="38"/>
      <c r="G35" s="39"/>
      <c r="H35" s="38"/>
      <c r="I35" s="38" t="s">
        <v>1199</v>
      </c>
      <c r="J35" s="38" t="s">
        <v>1199</v>
      </c>
      <c r="K35" s="40"/>
      <c r="L35" s="38"/>
      <c r="M35" s="39" t="b">
        <v>0</v>
      </c>
    </row>
    <row r="36" spans="1:13" ht="27.95" customHeight="1">
      <c r="A36" s="38" t="s">
        <v>260</v>
      </c>
      <c r="B36" s="38" t="s">
        <v>265</v>
      </c>
      <c r="C36" s="38" t="s">
        <v>1257</v>
      </c>
      <c r="D36" s="38" t="s">
        <v>1258</v>
      </c>
      <c r="E36" s="39"/>
      <c r="F36" s="38"/>
      <c r="G36" s="39"/>
      <c r="H36" s="38"/>
      <c r="I36" s="38" t="s">
        <v>1199</v>
      </c>
      <c r="J36" s="38" t="s">
        <v>1199</v>
      </c>
      <c r="K36" s="40"/>
      <c r="L36" s="38"/>
      <c r="M36" s="39" t="b">
        <v>0</v>
      </c>
    </row>
    <row r="37" spans="1:13" ht="27.95" customHeight="1">
      <c r="A37" s="38" t="s">
        <v>266</v>
      </c>
      <c r="B37" s="38" t="s">
        <v>270</v>
      </c>
      <c r="C37" s="38"/>
      <c r="D37" s="38" t="s">
        <v>1259</v>
      </c>
      <c r="E37" s="39"/>
      <c r="F37" s="38"/>
      <c r="G37" s="39"/>
      <c r="H37" s="38"/>
      <c r="I37" s="38" t="s">
        <v>1199</v>
      </c>
      <c r="J37" s="38" t="s">
        <v>1199</v>
      </c>
      <c r="K37" s="40"/>
      <c r="L37" s="38"/>
      <c r="M37" s="39" t="b">
        <v>0</v>
      </c>
    </row>
    <row r="38" spans="1:13" ht="27.95" customHeight="1">
      <c r="A38" s="38" t="s">
        <v>271</v>
      </c>
      <c r="B38" s="38" t="s">
        <v>276</v>
      </c>
      <c r="C38" s="38" t="s">
        <v>1260</v>
      </c>
      <c r="D38" s="38" t="s">
        <v>1261</v>
      </c>
      <c r="E38" s="39"/>
      <c r="F38" s="38"/>
      <c r="G38" s="39"/>
      <c r="H38" s="38"/>
      <c r="I38" s="38" t="s">
        <v>1199</v>
      </c>
      <c r="J38" s="38" t="s">
        <v>1199</v>
      </c>
      <c r="K38" s="40"/>
      <c r="L38" s="38"/>
      <c r="M38" s="39" t="b">
        <v>0</v>
      </c>
    </row>
    <row r="39" spans="1:13" ht="27.95" customHeight="1">
      <c r="A39" s="38" t="s">
        <v>277</v>
      </c>
      <c r="B39" s="38" t="s">
        <v>282</v>
      </c>
      <c r="C39" s="38" t="s">
        <v>1262</v>
      </c>
      <c r="D39" s="38" t="s">
        <v>1263</v>
      </c>
      <c r="E39" s="39"/>
      <c r="F39" s="38"/>
      <c r="G39" s="39"/>
      <c r="H39" s="38"/>
      <c r="I39" s="38" t="s">
        <v>1199</v>
      </c>
      <c r="J39" s="38" t="s">
        <v>1199</v>
      </c>
      <c r="K39" s="40"/>
      <c r="L39" s="38"/>
      <c r="M39" s="39" t="b">
        <v>0</v>
      </c>
    </row>
    <row r="40" spans="1:13" ht="27.95" customHeight="1">
      <c r="A40" s="38" t="s">
        <v>283</v>
      </c>
      <c r="B40" s="38" t="s">
        <v>290</v>
      </c>
      <c r="C40" s="38" t="s">
        <v>1264</v>
      </c>
      <c r="D40" s="38" t="s">
        <v>1265</v>
      </c>
      <c r="E40" s="39"/>
      <c r="F40" s="38" t="s">
        <v>1266</v>
      </c>
      <c r="G40" s="39"/>
      <c r="H40" s="38" t="s">
        <v>1267</v>
      </c>
      <c r="I40" s="38" t="s">
        <v>1268</v>
      </c>
      <c r="J40" s="38" t="s">
        <v>1269</v>
      </c>
      <c r="K40" s="40" t="s">
        <v>1270</v>
      </c>
      <c r="L40" s="38"/>
      <c r="M40" s="39" t="b">
        <v>0</v>
      </c>
    </row>
    <row r="41" spans="1:13" ht="27.95" customHeight="1">
      <c r="A41" s="38" t="s">
        <v>291</v>
      </c>
      <c r="B41" s="38" t="s">
        <v>298</v>
      </c>
      <c r="C41" s="38" t="s">
        <v>1271</v>
      </c>
      <c r="D41" s="38" t="s">
        <v>1272</v>
      </c>
      <c r="E41" s="39" t="s">
        <v>293</v>
      </c>
      <c r="F41" s="38" t="s">
        <v>1273</v>
      </c>
      <c r="G41" s="39">
        <v>5</v>
      </c>
      <c r="H41" s="38" t="s">
        <v>1274</v>
      </c>
      <c r="I41" s="38" t="s">
        <v>1275</v>
      </c>
      <c r="J41" s="38" t="s">
        <v>1276</v>
      </c>
      <c r="K41" s="40" t="s">
        <v>1277</v>
      </c>
      <c r="L41" s="38"/>
      <c r="M41" s="39" t="b">
        <v>1</v>
      </c>
    </row>
    <row r="42" spans="1:13" ht="27.95" customHeight="1">
      <c r="A42" s="38" t="s">
        <v>299</v>
      </c>
      <c r="B42" s="38" t="s">
        <v>304</v>
      </c>
      <c r="C42" s="38" t="s">
        <v>1278</v>
      </c>
      <c r="D42" s="38" t="s">
        <v>1279</v>
      </c>
      <c r="E42" s="39" t="s">
        <v>293</v>
      </c>
      <c r="F42" s="38" t="s">
        <v>1273</v>
      </c>
      <c r="G42" s="39">
        <v>44</v>
      </c>
      <c r="H42" s="38" t="s">
        <v>1280</v>
      </c>
      <c r="I42" s="38" t="s">
        <v>1281</v>
      </c>
      <c r="J42" s="38" t="s">
        <v>1282</v>
      </c>
      <c r="K42" s="40" t="s">
        <v>1283</v>
      </c>
      <c r="L42" s="38"/>
      <c r="M42" s="39" t="b">
        <v>1</v>
      </c>
    </row>
    <row r="43" spans="1:13" ht="27.95" customHeight="1">
      <c r="A43" s="38" t="s">
        <v>305</v>
      </c>
      <c r="B43" s="38" t="s">
        <v>310</v>
      </c>
      <c r="C43" s="38" t="s">
        <v>1284</v>
      </c>
      <c r="D43" s="38" t="s">
        <v>1285</v>
      </c>
      <c r="E43" s="39" t="s">
        <v>293</v>
      </c>
      <c r="F43" s="38" t="s">
        <v>1273</v>
      </c>
      <c r="G43" s="39">
        <v>43</v>
      </c>
      <c r="H43" s="38" t="s">
        <v>1286</v>
      </c>
      <c r="I43" s="38" t="s">
        <v>1287</v>
      </c>
      <c r="J43" s="38" t="s">
        <v>1288</v>
      </c>
      <c r="K43" s="40" t="s">
        <v>1277</v>
      </c>
      <c r="L43" s="38"/>
      <c r="M43" s="39" t="b">
        <v>1</v>
      </c>
    </row>
    <row r="44" spans="1:13" ht="27.95" customHeight="1">
      <c r="A44" s="38" t="s">
        <v>311</v>
      </c>
      <c r="B44" s="38" t="s">
        <v>316</v>
      </c>
      <c r="C44" s="38" t="s">
        <v>1289</v>
      </c>
      <c r="D44" s="38" t="s">
        <v>1290</v>
      </c>
      <c r="E44" s="39" t="s">
        <v>293</v>
      </c>
      <c r="F44" s="38" t="s">
        <v>1291</v>
      </c>
      <c r="G44" s="39">
        <v>49</v>
      </c>
      <c r="H44" s="38" t="s">
        <v>1292</v>
      </c>
      <c r="I44" s="38" t="s">
        <v>1293</v>
      </c>
      <c r="J44" s="38" t="s">
        <v>1294</v>
      </c>
      <c r="K44" s="40" t="s">
        <v>1295</v>
      </c>
      <c r="L44" s="38"/>
      <c r="M44" s="39" t="b">
        <v>1</v>
      </c>
    </row>
    <row r="45" spans="1:13" ht="27.95" customHeight="1">
      <c r="A45" s="38" t="s">
        <v>317</v>
      </c>
      <c r="B45" s="38" t="s">
        <v>322</v>
      </c>
      <c r="C45" s="38" t="s">
        <v>1296</v>
      </c>
      <c r="D45" s="38" t="s">
        <v>1297</v>
      </c>
      <c r="E45" s="39" t="s">
        <v>293</v>
      </c>
      <c r="F45" s="38" t="s">
        <v>1273</v>
      </c>
      <c r="G45" s="39">
        <v>5</v>
      </c>
      <c r="H45" s="38" t="s">
        <v>1298</v>
      </c>
      <c r="I45" s="38" t="s">
        <v>1299</v>
      </c>
      <c r="J45" s="38" t="s">
        <v>1300</v>
      </c>
      <c r="K45" s="40" t="s">
        <v>1301</v>
      </c>
      <c r="L45" s="38"/>
      <c r="M45" s="39" t="b">
        <v>1</v>
      </c>
    </row>
    <row r="46" spans="1:13" ht="27.95" customHeight="1">
      <c r="A46" s="38" t="s">
        <v>323</v>
      </c>
      <c r="B46" s="38" t="s">
        <v>327</v>
      </c>
      <c r="C46" s="38" t="s">
        <v>1302</v>
      </c>
      <c r="D46" s="38" t="s">
        <v>1303</v>
      </c>
      <c r="E46" s="39" t="s">
        <v>293</v>
      </c>
      <c r="F46" s="38" t="s">
        <v>1273</v>
      </c>
      <c r="G46" s="39">
        <v>24</v>
      </c>
      <c r="H46" s="38" t="s">
        <v>1304</v>
      </c>
      <c r="I46" s="38" t="s">
        <v>1305</v>
      </c>
      <c r="J46" s="38" t="s">
        <v>1306</v>
      </c>
      <c r="K46" s="40" t="s">
        <v>1307</v>
      </c>
      <c r="L46" s="38"/>
      <c r="M46" s="39" t="b">
        <v>0</v>
      </c>
    </row>
    <row r="47" spans="1:13" ht="27.95" customHeight="1">
      <c r="A47" s="38" t="s">
        <v>328</v>
      </c>
      <c r="B47" s="38" t="s">
        <v>333</v>
      </c>
      <c r="C47" s="38" t="s">
        <v>1308</v>
      </c>
      <c r="D47" s="38" t="s">
        <v>1309</v>
      </c>
      <c r="E47" s="39" t="s">
        <v>293</v>
      </c>
      <c r="F47" s="38" t="s">
        <v>1273</v>
      </c>
      <c r="G47" s="39">
        <v>71</v>
      </c>
      <c r="H47" s="38" t="s">
        <v>1310</v>
      </c>
      <c r="I47" s="38" t="s">
        <v>1311</v>
      </c>
      <c r="J47" s="38" t="s">
        <v>1312</v>
      </c>
      <c r="K47" s="40" t="s">
        <v>1313</v>
      </c>
      <c r="L47" s="38"/>
      <c r="M47" s="39" t="b">
        <v>1</v>
      </c>
    </row>
    <row r="48" spans="1:13" ht="27.95" customHeight="1">
      <c r="A48" s="38" t="s">
        <v>334</v>
      </c>
      <c r="B48" s="38" t="s">
        <v>339</v>
      </c>
      <c r="C48" s="38" t="s">
        <v>1314</v>
      </c>
      <c r="D48" s="38" t="s">
        <v>1315</v>
      </c>
      <c r="E48" s="39" t="s">
        <v>293</v>
      </c>
      <c r="F48" s="38" t="s">
        <v>1273</v>
      </c>
      <c r="G48" s="39">
        <v>71</v>
      </c>
      <c r="H48" s="38" t="s">
        <v>1310</v>
      </c>
      <c r="I48" s="38" t="s">
        <v>1311</v>
      </c>
      <c r="J48" s="38" t="s">
        <v>1312</v>
      </c>
      <c r="K48" s="40" t="s">
        <v>1283</v>
      </c>
      <c r="L48" s="38"/>
      <c r="M48" s="39" t="b">
        <v>1</v>
      </c>
    </row>
    <row r="49" spans="1:13" ht="27.95" customHeight="1">
      <c r="A49" s="38" t="s">
        <v>340</v>
      </c>
      <c r="B49" s="38" t="s">
        <v>344</v>
      </c>
      <c r="C49" s="38" t="s">
        <v>1314</v>
      </c>
      <c r="D49" s="38" t="s">
        <v>1316</v>
      </c>
      <c r="E49" s="39" t="s">
        <v>293</v>
      </c>
      <c r="F49" s="38" t="s">
        <v>1273</v>
      </c>
      <c r="G49" s="39">
        <v>71</v>
      </c>
      <c r="H49" s="38" t="s">
        <v>1310</v>
      </c>
      <c r="I49" s="38" t="s">
        <v>1311</v>
      </c>
      <c r="J49" s="38" t="s">
        <v>1312</v>
      </c>
      <c r="K49" s="40" t="s">
        <v>1283</v>
      </c>
      <c r="L49" s="38"/>
      <c r="M49" s="39" t="b">
        <v>1</v>
      </c>
    </row>
    <row r="50" spans="1:13" ht="27.95" customHeight="1">
      <c r="A50" s="38" t="s">
        <v>345</v>
      </c>
      <c r="B50" s="38" t="s">
        <v>349</v>
      </c>
      <c r="C50" s="38" t="s">
        <v>1317</v>
      </c>
      <c r="D50" s="38" t="s">
        <v>1318</v>
      </c>
      <c r="E50" s="39" t="s">
        <v>293</v>
      </c>
      <c r="F50" s="38" t="s">
        <v>1273</v>
      </c>
      <c r="G50" s="39">
        <v>142</v>
      </c>
      <c r="H50" s="38" t="s">
        <v>1319</v>
      </c>
      <c r="I50" s="38" t="s">
        <v>1320</v>
      </c>
      <c r="J50" s="38" t="s">
        <v>1321</v>
      </c>
      <c r="K50" s="40" t="s">
        <v>1322</v>
      </c>
      <c r="L50" s="38"/>
      <c r="M50" s="39" t="b">
        <v>1</v>
      </c>
    </row>
    <row r="51" spans="1:13" ht="27.95" customHeight="1">
      <c r="A51" s="38" t="s">
        <v>350</v>
      </c>
      <c r="B51" s="38" t="s">
        <v>354</v>
      </c>
      <c r="C51" s="38" t="s">
        <v>1323</v>
      </c>
      <c r="D51" s="38" t="s">
        <v>1324</v>
      </c>
      <c r="E51" s="39" t="s">
        <v>293</v>
      </c>
      <c r="F51" s="38" t="s">
        <v>1273</v>
      </c>
      <c r="G51" s="39">
        <v>32</v>
      </c>
      <c r="H51" s="38" t="s">
        <v>1325</v>
      </c>
      <c r="I51" s="38" t="s">
        <v>1326</v>
      </c>
      <c r="J51" s="38" t="s">
        <v>1327</v>
      </c>
      <c r="K51" s="40" t="s">
        <v>1328</v>
      </c>
      <c r="L51" s="38"/>
      <c r="M51" s="39" t="b">
        <v>1</v>
      </c>
    </row>
    <row r="52" spans="1:13" ht="27.95" customHeight="1">
      <c r="A52" s="38" t="s">
        <v>355</v>
      </c>
      <c r="B52" s="38" t="s">
        <v>360</v>
      </c>
      <c r="C52" s="38" t="s">
        <v>1329</v>
      </c>
      <c r="D52" s="38" t="s">
        <v>1330</v>
      </c>
      <c r="E52" s="39" t="s">
        <v>293</v>
      </c>
      <c r="F52" s="38" t="s">
        <v>1273</v>
      </c>
      <c r="G52" s="39">
        <v>15</v>
      </c>
      <c r="H52" s="38" t="s">
        <v>1331</v>
      </c>
      <c r="I52" s="38" t="s">
        <v>1332</v>
      </c>
      <c r="J52" s="38" t="s">
        <v>1333</v>
      </c>
      <c r="K52" s="40" t="s">
        <v>1334</v>
      </c>
      <c r="L52" s="38"/>
      <c r="M52" s="39" t="b">
        <v>1</v>
      </c>
    </row>
    <row r="53" spans="1:13" ht="27.95" customHeight="1">
      <c r="A53" s="38" t="s">
        <v>361</v>
      </c>
      <c r="B53" s="38" t="s">
        <v>366</v>
      </c>
      <c r="C53" s="38" t="s">
        <v>1335</v>
      </c>
      <c r="D53" s="38" t="s">
        <v>1336</v>
      </c>
      <c r="E53" s="39" t="s">
        <v>293</v>
      </c>
      <c r="F53" s="38" t="s">
        <v>1266</v>
      </c>
      <c r="G53" s="39">
        <v>368</v>
      </c>
      <c r="H53" s="38" t="s">
        <v>1337</v>
      </c>
      <c r="I53" s="38" t="s">
        <v>1338</v>
      </c>
      <c r="J53" s="38" t="s">
        <v>1312</v>
      </c>
      <c r="K53" s="40" t="s">
        <v>1339</v>
      </c>
      <c r="L53" s="38"/>
      <c r="M53" s="39" t="b">
        <v>1</v>
      </c>
    </row>
    <row r="54" spans="1:13" ht="27.95" customHeight="1">
      <c r="A54" s="38" t="s">
        <v>367</v>
      </c>
      <c r="B54" s="38" t="s">
        <v>371</v>
      </c>
      <c r="C54" s="38" t="s">
        <v>1340</v>
      </c>
      <c r="D54" s="38" t="s">
        <v>1341</v>
      </c>
      <c r="E54" s="39" t="s">
        <v>293</v>
      </c>
      <c r="F54" s="38" t="s">
        <v>1273</v>
      </c>
      <c r="G54" s="39">
        <v>71</v>
      </c>
      <c r="H54" s="38" t="s">
        <v>1310</v>
      </c>
      <c r="I54" s="38" t="s">
        <v>1311</v>
      </c>
      <c r="J54" s="38" t="s">
        <v>1312</v>
      </c>
      <c r="K54" s="40" t="s">
        <v>1342</v>
      </c>
      <c r="L54" s="38"/>
      <c r="M54" s="39" t="b">
        <v>1</v>
      </c>
    </row>
    <row r="55" spans="1:13" ht="27.95" customHeight="1">
      <c r="A55" s="38" t="s">
        <v>372</v>
      </c>
      <c r="B55" s="38" t="s">
        <v>377</v>
      </c>
      <c r="C55" s="38" t="s">
        <v>1343</v>
      </c>
      <c r="D55" s="38" t="s">
        <v>1344</v>
      </c>
      <c r="E55" s="39" t="s">
        <v>293</v>
      </c>
      <c r="F55" s="38" t="s">
        <v>1273</v>
      </c>
      <c r="G55" s="39">
        <v>5</v>
      </c>
      <c r="H55" s="38" t="s">
        <v>1345</v>
      </c>
      <c r="I55" s="38" t="s">
        <v>1346</v>
      </c>
      <c r="J55" s="38" t="s">
        <v>1347</v>
      </c>
      <c r="K55" s="40" t="s">
        <v>1277</v>
      </c>
      <c r="L55" s="38"/>
      <c r="M55" s="39" t="b">
        <v>1</v>
      </c>
    </row>
    <row r="56" spans="1:13" ht="27.95" customHeight="1">
      <c r="A56" s="38" t="s">
        <v>378</v>
      </c>
      <c r="B56" s="38" t="s">
        <v>383</v>
      </c>
      <c r="C56" s="38" t="s">
        <v>1343</v>
      </c>
      <c r="D56" s="38" t="s">
        <v>1348</v>
      </c>
      <c r="E56" s="39" t="s">
        <v>293</v>
      </c>
      <c r="F56" s="38" t="s">
        <v>1273</v>
      </c>
      <c r="G56" s="39">
        <v>5</v>
      </c>
      <c r="H56" s="38" t="s">
        <v>1345</v>
      </c>
      <c r="I56" s="38" t="s">
        <v>1346</v>
      </c>
      <c r="J56" s="38" t="s">
        <v>1349</v>
      </c>
      <c r="K56" s="40" t="s">
        <v>1277</v>
      </c>
      <c r="L56" s="38"/>
      <c r="M56" s="39" t="b">
        <v>1</v>
      </c>
    </row>
    <row r="57" spans="1:13" ht="27.95" customHeight="1">
      <c r="A57" s="38" t="s">
        <v>384</v>
      </c>
      <c r="B57" s="38" t="s">
        <v>389</v>
      </c>
      <c r="C57" s="38" t="s">
        <v>1350</v>
      </c>
      <c r="D57" s="38" t="s">
        <v>1351</v>
      </c>
      <c r="E57" s="39" t="s">
        <v>293</v>
      </c>
      <c r="F57" s="38" t="s">
        <v>1266</v>
      </c>
      <c r="G57" s="39">
        <v>28</v>
      </c>
      <c r="H57" s="38" t="s">
        <v>1352</v>
      </c>
      <c r="I57" s="38" t="s">
        <v>1353</v>
      </c>
      <c r="J57" s="38" t="s">
        <v>1354</v>
      </c>
      <c r="K57" s="40" t="s">
        <v>1355</v>
      </c>
      <c r="L57" s="38"/>
      <c r="M57" s="39" t="b">
        <v>1</v>
      </c>
    </row>
    <row r="58" spans="1:13" ht="27.95" customHeight="1">
      <c r="A58" s="38" t="s">
        <v>390</v>
      </c>
      <c r="B58" s="38" t="s">
        <v>394</v>
      </c>
      <c r="C58" s="38" t="s">
        <v>1356</v>
      </c>
      <c r="D58" s="38" t="s">
        <v>1357</v>
      </c>
      <c r="E58" s="39" t="s">
        <v>293</v>
      </c>
      <c r="F58" s="38" t="s">
        <v>1273</v>
      </c>
      <c r="G58" s="39">
        <v>13</v>
      </c>
      <c r="H58" s="38" t="s">
        <v>1358</v>
      </c>
      <c r="I58" s="38" t="s">
        <v>1359</v>
      </c>
      <c r="J58" s="38" t="s">
        <v>1360</v>
      </c>
      <c r="K58" s="40" t="s">
        <v>1361</v>
      </c>
      <c r="L58" s="38"/>
      <c r="M58" s="39" t="b">
        <v>1</v>
      </c>
    </row>
    <row r="59" spans="1:13" ht="27.95" customHeight="1">
      <c r="A59" s="38" t="s">
        <v>395</v>
      </c>
      <c r="B59" s="38" t="s">
        <v>399</v>
      </c>
      <c r="C59" s="38" t="s">
        <v>1362</v>
      </c>
      <c r="D59" s="38" t="s">
        <v>1363</v>
      </c>
      <c r="E59" s="39" t="s">
        <v>293</v>
      </c>
      <c r="F59" s="38" t="s">
        <v>1266</v>
      </c>
      <c r="G59" s="39">
        <v>1852</v>
      </c>
      <c r="H59" s="38" t="s">
        <v>1364</v>
      </c>
      <c r="I59" s="38" t="s">
        <v>1365</v>
      </c>
      <c r="J59" s="38" t="s">
        <v>1199</v>
      </c>
      <c r="K59" s="40" t="s">
        <v>1366</v>
      </c>
      <c r="L59" s="38"/>
      <c r="M59" s="39" t="b">
        <v>1</v>
      </c>
    </row>
    <row r="60" spans="1:13" ht="27.95" customHeight="1">
      <c r="A60" s="38" t="s">
        <v>400</v>
      </c>
      <c r="B60" s="38" t="s">
        <v>404</v>
      </c>
      <c r="C60" s="38" t="s">
        <v>1367</v>
      </c>
      <c r="D60" s="38" t="s">
        <v>1368</v>
      </c>
      <c r="E60" s="39" t="s">
        <v>293</v>
      </c>
      <c r="F60" s="38" t="s">
        <v>1273</v>
      </c>
      <c r="G60" s="39">
        <v>39</v>
      </c>
      <c r="H60" s="38" t="s">
        <v>1369</v>
      </c>
      <c r="I60" s="38" t="s">
        <v>1370</v>
      </c>
      <c r="J60" s="38" t="s">
        <v>1371</v>
      </c>
      <c r="K60" s="40" t="s">
        <v>1372</v>
      </c>
      <c r="L60" s="38"/>
      <c r="M60" s="39" t="b">
        <v>0</v>
      </c>
    </row>
    <row r="61" spans="1:13" ht="27.95" customHeight="1">
      <c r="A61" s="38" t="s">
        <v>405</v>
      </c>
      <c r="B61" s="38" t="s">
        <v>409</v>
      </c>
      <c r="C61" s="38" t="s">
        <v>1373</v>
      </c>
      <c r="D61" s="38" t="s">
        <v>1374</v>
      </c>
      <c r="E61" s="39" t="s">
        <v>293</v>
      </c>
      <c r="F61" s="38" t="s">
        <v>1273</v>
      </c>
      <c r="G61" s="39">
        <v>121</v>
      </c>
      <c r="H61" s="38" t="s">
        <v>1369</v>
      </c>
      <c r="I61" s="38" t="s">
        <v>1370</v>
      </c>
      <c r="J61" s="38" t="s">
        <v>1371</v>
      </c>
      <c r="K61" s="40" t="s">
        <v>1372</v>
      </c>
      <c r="L61" s="38"/>
      <c r="M61" s="39" t="b">
        <v>0</v>
      </c>
    </row>
    <row r="62" spans="1:13" ht="27.95" customHeight="1">
      <c r="A62" s="38" t="s">
        <v>410</v>
      </c>
      <c r="B62" s="38" t="s">
        <v>415</v>
      </c>
      <c r="C62" s="38" t="s">
        <v>1373</v>
      </c>
      <c r="D62" s="38" t="s">
        <v>1375</v>
      </c>
      <c r="E62" s="39" t="s">
        <v>293</v>
      </c>
      <c r="F62" s="38" t="s">
        <v>1273</v>
      </c>
      <c r="G62" s="39">
        <v>121</v>
      </c>
      <c r="H62" s="38" t="s">
        <v>1369</v>
      </c>
      <c r="I62" s="38" t="s">
        <v>1370</v>
      </c>
      <c r="J62" s="38" t="s">
        <v>1371</v>
      </c>
      <c r="K62" s="40" t="s">
        <v>1372</v>
      </c>
      <c r="L62" s="38"/>
      <c r="M62" s="39" t="b">
        <v>0</v>
      </c>
    </row>
    <row r="63" spans="1:13" ht="27.95" customHeight="1">
      <c r="A63" s="38" t="s">
        <v>416</v>
      </c>
      <c r="B63" s="38" t="s">
        <v>420</v>
      </c>
      <c r="C63" s="38" t="s">
        <v>1376</v>
      </c>
      <c r="D63" s="38" t="s">
        <v>1377</v>
      </c>
      <c r="E63" s="39" t="s">
        <v>293</v>
      </c>
      <c r="F63" s="38" t="s">
        <v>1273</v>
      </c>
      <c r="G63" s="39">
        <v>2</v>
      </c>
      <c r="H63" s="38" t="s">
        <v>1378</v>
      </c>
      <c r="I63" s="38" t="s">
        <v>1379</v>
      </c>
      <c r="J63" s="38" t="s">
        <v>1380</v>
      </c>
      <c r="K63" s="40" t="s">
        <v>1381</v>
      </c>
      <c r="L63" s="38"/>
      <c r="M63" s="39" t="b">
        <v>1</v>
      </c>
    </row>
    <row r="64" spans="1:13" ht="27.95" customHeight="1">
      <c r="A64" s="38" t="s">
        <v>421</v>
      </c>
      <c r="B64" s="38" t="s">
        <v>425</v>
      </c>
      <c r="C64" s="38" t="s">
        <v>1376</v>
      </c>
      <c r="D64" s="38" t="s">
        <v>1382</v>
      </c>
      <c r="E64" s="39" t="s">
        <v>293</v>
      </c>
      <c r="F64" s="38" t="s">
        <v>1273</v>
      </c>
      <c r="G64" s="39">
        <v>2</v>
      </c>
      <c r="H64" s="38" t="s">
        <v>1378</v>
      </c>
      <c r="I64" s="38" t="s">
        <v>1379</v>
      </c>
      <c r="J64" s="38" t="s">
        <v>1380</v>
      </c>
      <c r="K64" s="40" t="s">
        <v>1381</v>
      </c>
      <c r="L64" s="38"/>
      <c r="M64" s="39" t="b">
        <v>1</v>
      </c>
    </row>
    <row r="65" spans="1:13" ht="27.95" customHeight="1">
      <c r="A65" s="38" t="s">
        <v>426</v>
      </c>
      <c r="B65" s="38" t="s">
        <v>430</v>
      </c>
      <c r="C65" s="38" t="s">
        <v>1383</v>
      </c>
      <c r="D65" s="38" t="s">
        <v>1384</v>
      </c>
      <c r="E65" s="39" t="s">
        <v>293</v>
      </c>
      <c r="F65" s="38" t="s">
        <v>1273</v>
      </c>
      <c r="G65" s="39">
        <v>7</v>
      </c>
      <c r="H65" s="38" t="s">
        <v>1385</v>
      </c>
      <c r="I65" s="38" t="s">
        <v>1386</v>
      </c>
      <c r="J65" s="38" t="s">
        <v>1387</v>
      </c>
      <c r="K65" s="40" t="s">
        <v>1388</v>
      </c>
      <c r="L65" s="38"/>
      <c r="M65" s="39" t="b">
        <v>1</v>
      </c>
    </row>
    <row r="66" spans="1:13" ht="27.95" customHeight="1">
      <c r="A66" s="38" t="s">
        <v>431</v>
      </c>
      <c r="B66" s="38" t="s">
        <v>435</v>
      </c>
      <c r="C66" s="38" t="s">
        <v>1383</v>
      </c>
      <c r="D66" s="38" t="s">
        <v>1389</v>
      </c>
      <c r="E66" s="39" t="s">
        <v>293</v>
      </c>
      <c r="F66" s="38" t="s">
        <v>1273</v>
      </c>
      <c r="G66" s="39">
        <v>7</v>
      </c>
      <c r="H66" s="38" t="s">
        <v>1385</v>
      </c>
      <c r="I66" s="38" t="s">
        <v>1386</v>
      </c>
      <c r="J66" s="38" t="s">
        <v>1390</v>
      </c>
      <c r="K66" s="40" t="s">
        <v>1388</v>
      </c>
      <c r="L66" s="38"/>
      <c r="M66" s="39" t="b">
        <v>1</v>
      </c>
    </row>
    <row r="67" spans="1:13" ht="27.95" customHeight="1">
      <c r="A67" s="38" t="s">
        <v>436</v>
      </c>
      <c r="B67" s="38" t="s">
        <v>440</v>
      </c>
      <c r="C67" s="38" t="s">
        <v>1383</v>
      </c>
      <c r="D67" s="38" t="s">
        <v>1391</v>
      </c>
      <c r="E67" s="39" t="s">
        <v>293</v>
      </c>
      <c r="F67" s="38" t="s">
        <v>1273</v>
      </c>
      <c r="G67" s="39">
        <v>7</v>
      </c>
      <c r="H67" s="38" t="s">
        <v>1385</v>
      </c>
      <c r="I67" s="38" t="s">
        <v>1386</v>
      </c>
      <c r="J67" s="38" t="s">
        <v>1390</v>
      </c>
      <c r="K67" s="40" t="s">
        <v>1388</v>
      </c>
      <c r="L67" s="38"/>
      <c r="M67" s="39" t="b">
        <v>1</v>
      </c>
    </row>
    <row r="68" spans="1:13" ht="27.95" customHeight="1">
      <c r="A68" s="38" t="s">
        <v>441</v>
      </c>
      <c r="B68" s="38" t="s">
        <v>446</v>
      </c>
      <c r="C68" s="38" t="s">
        <v>1392</v>
      </c>
      <c r="D68" s="38" t="s">
        <v>1393</v>
      </c>
      <c r="E68" s="39" t="s">
        <v>293</v>
      </c>
      <c r="F68" s="38" t="s">
        <v>1291</v>
      </c>
      <c r="G68" s="39">
        <v>24</v>
      </c>
      <c r="H68" s="38" t="s">
        <v>1394</v>
      </c>
      <c r="I68" s="38" t="s">
        <v>1395</v>
      </c>
      <c r="J68" s="38" t="s">
        <v>1396</v>
      </c>
      <c r="K68" s="40" t="s">
        <v>1397</v>
      </c>
      <c r="L68" s="38"/>
      <c r="M68" s="39" t="b">
        <v>1</v>
      </c>
    </row>
    <row r="69" spans="1:13" ht="27.95" customHeight="1">
      <c r="A69" s="38" t="s">
        <v>447</v>
      </c>
      <c r="B69" s="38" t="s">
        <v>451</v>
      </c>
      <c r="C69" s="38" t="s">
        <v>1398</v>
      </c>
      <c r="D69" s="38" t="s">
        <v>1399</v>
      </c>
      <c r="E69" s="39" t="s">
        <v>293</v>
      </c>
      <c r="F69" s="38" t="s">
        <v>1273</v>
      </c>
      <c r="G69" s="39">
        <v>2</v>
      </c>
      <c r="H69" s="38" t="s">
        <v>1400</v>
      </c>
      <c r="I69" s="38" t="s">
        <v>1401</v>
      </c>
      <c r="J69" s="38" t="s">
        <v>1402</v>
      </c>
      <c r="K69" s="40" t="s">
        <v>1403</v>
      </c>
      <c r="L69" s="38"/>
      <c r="M69" s="39" t="b">
        <v>0</v>
      </c>
    </row>
    <row r="70" spans="1:13" ht="27.95" customHeight="1">
      <c r="A70" s="38" t="s">
        <v>452</v>
      </c>
      <c r="B70" s="38" t="s">
        <v>456</v>
      </c>
      <c r="C70" s="38" t="s">
        <v>1398</v>
      </c>
      <c r="D70" s="38" t="s">
        <v>1404</v>
      </c>
      <c r="E70" s="39" t="s">
        <v>293</v>
      </c>
      <c r="F70" s="38" t="s">
        <v>1273</v>
      </c>
      <c r="G70" s="39">
        <v>2</v>
      </c>
      <c r="H70" s="38" t="s">
        <v>1400</v>
      </c>
      <c r="I70" s="38" t="s">
        <v>1401</v>
      </c>
      <c r="J70" s="38" t="s">
        <v>1402</v>
      </c>
      <c r="K70" s="40" t="s">
        <v>1403</v>
      </c>
      <c r="L70" s="38"/>
      <c r="M70" s="39" t="b">
        <v>0</v>
      </c>
    </row>
    <row r="71" spans="1:13" ht="27.95" customHeight="1">
      <c r="A71" s="38" t="s">
        <v>457</v>
      </c>
      <c r="B71" s="38" t="s">
        <v>461</v>
      </c>
      <c r="C71" s="38" t="s">
        <v>1405</v>
      </c>
      <c r="D71" s="38" t="s">
        <v>1406</v>
      </c>
      <c r="E71" s="39" t="s">
        <v>293</v>
      </c>
      <c r="F71" s="38" t="s">
        <v>1291</v>
      </c>
      <c r="G71" s="39">
        <v>49</v>
      </c>
      <c r="H71" s="38" t="s">
        <v>1407</v>
      </c>
      <c r="I71" s="38" t="s">
        <v>1408</v>
      </c>
      <c r="J71" s="38" t="s">
        <v>1409</v>
      </c>
      <c r="K71" s="40" t="s">
        <v>1295</v>
      </c>
      <c r="L71" s="38"/>
      <c r="M71" s="39" t="b">
        <v>0</v>
      </c>
    </row>
    <row r="72" spans="1:13" ht="27.95" customHeight="1">
      <c r="A72" s="38" t="s">
        <v>462</v>
      </c>
      <c r="B72" s="38" t="s">
        <v>466</v>
      </c>
      <c r="C72" s="38" t="s">
        <v>1410</v>
      </c>
      <c r="D72" s="38" t="s">
        <v>1411</v>
      </c>
      <c r="E72" s="39" t="s">
        <v>293</v>
      </c>
      <c r="F72" s="38" t="s">
        <v>1273</v>
      </c>
      <c r="G72" s="39">
        <v>5</v>
      </c>
      <c r="H72" s="38" t="s">
        <v>1412</v>
      </c>
      <c r="I72" s="38" t="s">
        <v>1413</v>
      </c>
      <c r="J72" s="38" t="s">
        <v>1414</v>
      </c>
      <c r="K72" s="40" t="s">
        <v>1415</v>
      </c>
      <c r="L72" s="38"/>
      <c r="M72" s="39" t="b">
        <v>0</v>
      </c>
    </row>
    <row r="73" spans="1:13" ht="27.95" customHeight="1">
      <c r="A73" s="38" t="s">
        <v>467</v>
      </c>
      <c r="B73" s="38" t="s">
        <v>471</v>
      </c>
      <c r="C73" s="38" t="s">
        <v>1410</v>
      </c>
      <c r="D73" s="38" t="s">
        <v>1416</v>
      </c>
      <c r="E73" s="39" t="s">
        <v>293</v>
      </c>
      <c r="F73" s="38" t="s">
        <v>1273</v>
      </c>
      <c r="G73" s="39">
        <v>5</v>
      </c>
      <c r="H73" s="38" t="s">
        <v>1412</v>
      </c>
      <c r="I73" s="38" t="s">
        <v>1413</v>
      </c>
      <c r="J73" s="38" t="s">
        <v>1414</v>
      </c>
      <c r="K73" s="40" t="s">
        <v>1415</v>
      </c>
      <c r="L73" s="38"/>
      <c r="M73" s="39" t="b">
        <v>0</v>
      </c>
    </row>
    <row r="74" spans="1:13" ht="27.95" customHeight="1">
      <c r="A74" s="38" t="s">
        <v>472</v>
      </c>
      <c r="B74" s="38" t="s">
        <v>477</v>
      </c>
      <c r="C74" s="38" t="s">
        <v>1417</v>
      </c>
      <c r="D74" s="38" t="s">
        <v>1418</v>
      </c>
      <c r="E74" s="39" t="s">
        <v>293</v>
      </c>
      <c r="F74" s="38" t="s">
        <v>1273</v>
      </c>
      <c r="G74" s="39">
        <v>0</v>
      </c>
      <c r="H74" s="38" t="s">
        <v>1419</v>
      </c>
      <c r="I74" s="38" t="s">
        <v>1420</v>
      </c>
      <c r="J74" s="38" t="s">
        <v>1421</v>
      </c>
      <c r="K74" s="40" t="s">
        <v>1422</v>
      </c>
      <c r="L74" s="38"/>
      <c r="M74" s="39" t="b">
        <v>1</v>
      </c>
    </row>
    <row r="75" spans="1:13" ht="27.95" customHeight="1">
      <c r="A75" s="38" t="s">
        <v>478</v>
      </c>
      <c r="B75" s="38" t="s">
        <v>483</v>
      </c>
      <c r="C75" s="38" t="s">
        <v>1423</v>
      </c>
      <c r="D75" s="38" t="s">
        <v>1424</v>
      </c>
      <c r="E75" s="39" t="s">
        <v>293</v>
      </c>
      <c r="F75" s="38" t="s">
        <v>1273</v>
      </c>
      <c r="G75" s="39">
        <v>31</v>
      </c>
      <c r="H75" s="38" t="s">
        <v>1425</v>
      </c>
      <c r="I75" s="38" t="s">
        <v>1426</v>
      </c>
      <c r="J75" s="38" t="s">
        <v>1427</v>
      </c>
      <c r="K75" s="40" t="s">
        <v>1428</v>
      </c>
      <c r="L75" s="38"/>
      <c r="M75" s="39" t="b">
        <v>0</v>
      </c>
    </row>
    <row r="76" spans="1:13" ht="27.95" customHeight="1">
      <c r="A76" s="38" t="s">
        <v>484</v>
      </c>
      <c r="B76" s="38" t="s">
        <v>489</v>
      </c>
      <c r="C76" s="38" t="s">
        <v>1423</v>
      </c>
      <c r="D76" s="38" t="s">
        <v>1429</v>
      </c>
      <c r="E76" s="39" t="s">
        <v>293</v>
      </c>
      <c r="F76" s="38" t="s">
        <v>1273</v>
      </c>
      <c r="G76" s="39">
        <v>31</v>
      </c>
      <c r="H76" s="38" t="s">
        <v>1425</v>
      </c>
      <c r="I76" s="38" t="s">
        <v>1426</v>
      </c>
      <c r="J76" s="38" t="s">
        <v>1427</v>
      </c>
      <c r="K76" s="40" t="s">
        <v>1428</v>
      </c>
      <c r="L76" s="38"/>
      <c r="M76" s="39" t="b">
        <v>0</v>
      </c>
    </row>
    <row r="77" spans="1:13" ht="27.95" customHeight="1">
      <c r="A77" s="38" t="s">
        <v>490</v>
      </c>
      <c r="B77" s="38" t="s">
        <v>495</v>
      </c>
      <c r="C77" s="38" t="s">
        <v>1423</v>
      </c>
      <c r="D77" s="38" t="s">
        <v>1430</v>
      </c>
      <c r="E77" s="39" t="s">
        <v>293</v>
      </c>
      <c r="F77" s="38" t="s">
        <v>1273</v>
      </c>
      <c r="G77" s="39">
        <v>31</v>
      </c>
      <c r="H77" s="38" t="s">
        <v>1425</v>
      </c>
      <c r="I77" s="38" t="s">
        <v>1426</v>
      </c>
      <c r="J77" s="38" t="s">
        <v>1427</v>
      </c>
      <c r="K77" s="40" t="s">
        <v>1428</v>
      </c>
      <c r="L77" s="38"/>
      <c r="M77" s="39" t="b">
        <v>0</v>
      </c>
    </row>
    <row r="78" spans="1:13" ht="27.95" customHeight="1">
      <c r="A78" s="38" t="s">
        <v>496</v>
      </c>
      <c r="B78" s="38" t="s">
        <v>501</v>
      </c>
      <c r="C78" s="38" t="s">
        <v>1431</v>
      </c>
      <c r="D78" s="38" t="s">
        <v>1432</v>
      </c>
      <c r="E78" s="39" t="s">
        <v>293</v>
      </c>
      <c r="F78" s="38" t="s">
        <v>1273</v>
      </c>
      <c r="G78" s="39">
        <v>7953</v>
      </c>
      <c r="H78" s="38" t="s">
        <v>1433</v>
      </c>
      <c r="I78" s="38" t="s">
        <v>1434</v>
      </c>
      <c r="J78" s="38" t="s">
        <v>1435</v>
      </c>
      <c r="K78" s="40" t="s">
        <v>1436</v>
      </c>
      <c r="L78" s="38"/>
      <c r="M78" s="39" t="b">
        <v>1</v>
      </c>
    </row>
    <row r="79" spans="1:13" ht="27.95" customHeight="1">
      <c r="A79" s="38" t="s">
        <v>502</v>
      </c>
      <c r="B79" s="38" t="s">
        <v>507</v>
      </c>
      <c r="C79" s="38" t="s">
        <v>1431</v>
      </c>
      <c r="D79" s="38" t="s">
        <v>1437</v>
      </c>
      <c r="E79" s="39" t="s">
        <v>293</v>
      </c>
      <c r="F79" s="38" t="s">
        <v>1273</v>
      </c>
      <c r="G79" s="39">
        <v>7953</v>
      </c>
      <c r="H79" s="38" t="s">
        <v>1433</v>
      </c>
      <c r="I79" s="38" t="s">
        <v>1434</v>
      </c>
      <c r="J79" s="38" t="s">
        <v>1435</v>
      </c>
      <c r="K79" s="40" t="s">
        <v>1436</v>
      </c>
      <c r="L79" s="38"/>
      <c r="M79" s="39" t="b">
        <v>1</v>
      </c>
    </row>
    <row r="80" spans="1:13" ht="27.95" customHeight="1">
      <c r="A80" s="38" t="s">
        <v>508</v>
      </c>
      <c r="B80" s="38" t="s">
        <v>513</v>
      </c>
      <c r="C80" s="38" t="s">
        <v>1438</v>
      </c>
      <c r="D80" s="38" t="s">
        <v>1439</v>
      </c>
      <c r="E80" s="39" t="s">
        <v>293</v>
      </c>
      <c r="F80" s="38" t="s">
        <v>1266</v>
      </c>
      <c r="G80" s="39">
        <v>1861</v>
      </c>
      <c r="H80" s="38" t="s">
        <v>1440</v>
      </c>
      <c r="I80" s="38" t="s">
        <v>1441</v>
      </c>
      <c r="J80" s="38" t="s">
        <v>1442</v>
      </c>
      <c r="K80" s="40" t="s">
        <v>1443</v>
      </c>
      <c r="L80" s="38"/>
      <c r="M80" s="39" t="b">
        <v>1</v>
      </c>
    </row>
    <row r="81" spans="1:13" ht="27.95" customHeight="1">
      <c r="A81" s="38" t="s">
        <v>514</v>
      </c>
      <c r="B81" s="38" t="s">
        <v>519</v>
      </c>
      <c r="C81" s="38" t="s">
        <v>1444</v>
      </c>
      <c r="D81" s="38" t="s">
        <v>1445</v>
      </c>
      <c r="E81" s="39" t="s">
        <v>293</v>
      </c>
      <c r="F81" s="38" t="s">
        <v>1273</v>
      </c>
      <c r="G81" s="39">
        <v>19</v>
      </c>
      <c r="H81" s="38" t="s">
        <v>1446</v>
      </c>
      <c r="I81" s="38" t="s">
        <v>1447</v>
      </c>
      <c r="J81" s="38" t="s">
        <v>1448</v>
      </c>
      <c r="K81" s="40" t="s">
        <v>1449</v>
      </c>
      <c r="L81" s="38"/>
      <c r="M81" s="39" t="b">
        <v>1</v>
      </c>
    </row>
    <row r="82" spans="1:13" ht="27.95" customHeight="1">
      <c r="A82" s="38" t="s">
        <v>520</v>
      </c>
      <c r="B82" s="38" t="s">
        <v>524</v>
      </c>
      <c r="C82" s="38" t="s">
        <v>1450</v>
      </c>
      <c r="D82" s="38" t="s">
        <v>1451</v>
      </c>
      <c r="E82" s="39" t="s">
        <v>293</v>
      </c>
      <c r="F82" s="38" t="s">
        <v>1273</v>
      </c>
      <c r="G82" s="39">
        <v>1112</v>
      </c>
      <c r="H82" s="38" t="s">
        <v>1452</v>
      </c>
      <c r="I82" s="38" t="s">
        <v>1453</v>
      </c>
      <c r="J82" s="38" t="s">
        <v>1454</v>
      </c>
      <c r="K82" s="40" t="s">
        <v>1455</v>
      </c>
      <c r="L82" s="38"/>
      <c r="M82" s="39" t="b">
        <v>1</v>
      </c>
    </row>
    <row r="83" spans="1:13" ht="27.95" customHeight="1">
      <c r="A83" s="38" t="s">
        <v>525</v>
      </c>
      <c r="B83" s="38" t="s">
        <v>530</v>
      </c>
      <c r="C83" s="38" t="s">
        <v>1456</v>
      </c>
      <c r="D83" s="38" t="s">
        <v>1457</v>
      </c>
      <c r="E83" s="39" t="s">
        <v>293</v>
      </c>
      <c r="F83" s="38" t="s">
        <v>1291</v>
      </c>
      <c r="G83" s="39">
        <v>177</v>
      </c>
      <c r="H83" s="38" t="s">
        <v>1458</v>
      </c>
      <c r="I83" s="38" t="s">
        <v>1459</v>
      </c>
      <c r="J83" s="38" t="s">
        <v>1460</v>
      </c>
      <c r="K83" s="40" t="s">
        <v>1461</v>
      </c>
      <c r="L83" s="38"/>
      <c r="M83" s="39" t="b">
        <v>0</v>
      </c>
    </row>
    <row r="84" spans="1:13" ht="27.95" customHeight="1">
      <c r="A84" s="38" t="s">
        <v>531</v>
      </c>
      <c r="B84" s="38" t="s">
        <v>535</v>
      </c>
      <c r="C84" s="38" t="s">
        <v>1462</v>
      </c>
      <c r="D84" s="38" t="s">
        <v>1463</v>
      </c>
      <c r="E84" s="39" t="s">
        <v>293</v>
      </c>
      <c r="F84" s="38" t="s">
        <v>1291</v>
      </c>
      <c r="G84" s="39">
        <v>15</v>
      </c>
      <c r="H84" s="38" t="s">
        <v>1464</v>
      </c>
      <c r="I84" s="38" t="s">
        <v>1465</v>
      </c>
      <c r="J84" s="38" t="s">
        <v>1466</v>
      </c>
      <c r="K84" s="40" t="s">
        <v>1301</v>
      </c>
      <c r="L84" s="38"/>
      <c r="M84" s="39" t="b">
        <v>1</v>
      </c>
    </row>
    <row r="85" spans="1:13" ht="27.95" customHeight="1">
      <c r="A85" s="38" t="s">
        <v>536</v>
      </c>
      <c r="B85" s="38" t="s">
        <v>540</v>
      </c>
      <c r="C85" s="38" t="s">
        <v>1467</v>
      </c>
      <c r="D85" s="38" t="s">
        <v>1468</v>
      </c>
      <c r="E85" s="39" t="s">
        <v>293</v>
      </c>
      <c r="F85" s="38" t="s">
        <v>1291</v>
      </c>
      <c r="G85" s="39">
        <v>34</v>
      </c>
      <c r="H85" s="38" t="s">
        <v>1469</v>
      </c>
      <c r="I85" s="38" t="s">
        <v>1470</v>
      </c>
      <c r="J85" s="38" t="s">
        <v>1471</v>
      </c>
      <c r="K85" s="40" t="s">
        <v>1307</v>
      </c>
      <c r="L85" s="38"/>
      <c r="M85" s="39" t="b">
        <v>0</v>
      </c>
    </row>
    <row r="86" spans="1:13" ht="27.95" customHeight="1">
      <c r="A86" s="38" t="s">
        <v>541</v>
      </c>
      <c r="B86" s="38" t="s">
        <v>545</v>
      </c>
      <c r="C86" s="38" t="s">
        <v>1467</v>
      </c>
      <c r="D86" s="38" t="s">
        <v>1472</v>
      </c>
      <c r="E86" s="39" t="s">
        <v>293</v>
      </c>
      <c r="F86" s="38" t="s">
        <v>1291</v>
      </c>
      <c r="G86" s="39">
        <v>34</v>
      </c>
      <c r="H86" s="38" t="s">
        <v>1469</v>
      </c>
      <c r="I86" s="38" t="s">
        <v>1470</v>
      </c>
      <c r="J86" s="38" t="s">
        <v>1471</v>
      </c>
      <c r="K86" s="40" t="s">
        <v>1307</v>
      </c>
      <c r="L86" s="38"/>
      <c r="M86" s="39" t="b">
        <v>0</v>
      </c>
    </row>
    <row r="87" spans="1:13" ht="27.95" customHeight="1">
      <c r="A87" s="38" t="s">
        <v>546</v>
      </c>
      <c r="B87" s="38" t="s">
        <v>551</v>
      </c>
      <c r="C87" s="38" t="s">
        <v>1473</v>
      </c>
      <c r="D87" s="38" t="s">
        <v>1474</v>
      </c>
      <c r="E87" s="39" t="s">
        <v>293</v>
      </c>
      <c r="F87" s="38" t="s">
        <v>1291</v>
      </c>
      <c r="G87" s="39">
        <v>200</v>
      </c>
      <c r="H87" s="38" t="s">
        <v>1475</v>
      </c>
      <c r="I87" s="38" t="s">
        <v>1476</v>
      </c>
      <c r="J87" s="38" t="s">
        <v>1477</v>
      </c>
      <c r="K87" s="40" t="s">
        <v>1313</v>
      </c>
      <c r="L87" s="38"/>
      <c r="M87" s="39" t="b">
        <v>1</v>
      </c>
    </row>
    <row r="88" spans="1:13" ht="27.95" customHeight="1">
      <c r="A88" s="38" t="s">
        <v>552</v>
      </c>
      <c r="B88" s="38" t="s">
        <v>557</v>
      </c>
      <c r="C88" s="38" t="s">
        <v>1478</v>
      </c>
      <c r="D88" s="38" t="s">
        <v>1479</v>
      </c>
      <c r="E88" s="39" t="s">
        <v>293</v>
      </c>
      <c r="F88" s="38" t="s">
        <v>1291</v>
      </c>
      <c r="G88" s="39">
        <v>200</v>
      </c>
      <c r="H88" s="38" t="s">
        <v>1475</v>
      </c>
      <c r="I88" s="38" t="s">
        <v>1476</v>
      </c>
      <c r="J88" s="38" t="s">
        <v>1477</v>
      </c>
      <c r="K88" s="40" t="s">
        <v>1283</v>
      </c>
      <c r="L88" s="38"/>
      <c r="M88" s="39" t="b">
        <v>1</v>
      </c>
    </row>
    <row r="89" spans="1:13" ht="27.95" customHeight="1">
      <c r="A89" s="38" t="s">
        <v>558</v>
      </c>
      <c r="B89" s="38" t="s">
        <v>562</v>
      </c>
      <c r="C89" s="38" t="s">
        <v>1480</v>
      </c>
      <c r="D89" s="38" t="s">
        <v>1481</v>
      </c>
      <c r="E89" s="39" t="s">
        <v>293</v>
      </c>
      <c r="F89" s="38" t="s">
        <v>1291</v>
      </c>
      <c r="G89" s="39">
        <v>252</v>
      </c>
      <c r="H89" s="38" t="s">
        <v>1482</v>
      </c>
      <c r="I89" s="38" t="s">
        <v>1483</v>
      </c>
      <c r="J89" s="38" t="s">
        <v>1484</v>
      </c>
      <c r="K89" s="40" t="s">
        <v>1322</v>
      </c>
      <c r="L89" s="38"/>
      <c r="M89" s="39" t="b">
        <v>1</v>
      </c>
    </row>
    <row r="90" spans="1:13" ht="27.95" customHeight="1">
      <c r="A90" s="38" t="s">
        <v>563</v>
      </c>
      <c r="B90" s="38" t="s">
        <v>567</v>
      </c>
      <c r="C90" s="38" t="s">
        <v>1485</v>
      </c>
      <c r="D90" s="38" t="s">
        <v>1486</v>
      </c>
      <c r="E90" s="39" t="s">
        <v>293</v>
      </c>
      <c r="F90" s="38" t="s">
        <v>1291</v>
      </c>
      <c r="G90" s="39">
        <v>32</v>
      </c>
      <c r="H90" s="38" t="s">
        <v>1487</v>
      </c>
      <c r="I90" s="38" t="s">
        <v>1488</v>
      </c>
      <c r="J90" s="38" t="s">
        <v>1489</v>
      </c>
      <c r="K90" s="40" t="s">
        <v>1490</v>
      </c>
      <c r="L90" s="38"/>
      <c r="M90" s="39" t="b">
        <v>0</v>
      </c>
    </row>
    <row r="91" spans="1:13" ht="27.95" customHeight="1">
      <c r="A91" s="38" t="s">
        <v>568</v>
      </c>
      <c r="B91" s="38" t="s">
        <v>572</v>
      </c>
      <c r="C91" s="38" t="s">
        <v>1485</v>
      </c>
      <c r="D91" s="38" t="s">
        <v>1491</v>
      </c>
      <c r="E91" s="39" t="s">
        <v>293</v>
      </c>
      <c r="F91" s="38" t="s">
        <v>1291</v>
      </c>
      <c r="G91" s="39">
        <v>32</v>
      </c>
      <c r="H91" s="38" t="s">
        <v>1487</v>
      </c>
      <c r="I91" s="38" t="s">
        <v>1488</v>
      </c>
      <c r="J91" s="38" t="s">
        <v>1489</v>
      </c>
      <c r="K91" s="40" t="s">
        <v>1490</v>
      </c>
      <c r="L91" s="38"/>
      <c r="M91" s="39" t="b">
        <v>0</v>
      </c>
    </row>
    <row r="92" spans="1:13" ht="27.95" customHeight="1">
      <c r="A92" s="38" t="s">
        <v>573</v>
      </c>
      <c r="B92" s="38" t="s">
        <v>578</v>
      </c>
      <c r="C92" s="38" t="s">
        <v>1492</v>
      </c>
      <c r="D92" s="38" t="s">
        <v>1493</v>
      </c>
      <c r="E92" s="39" t="s">
        <v>293</v>
      </c>
      <c r="F92" s="38" t="s">
        <v>1291</v>
      </c>
      <c r="G92" s="39">
        <v>32</v>
      </c>
      <c r="H92" s="38" t="s">
        <v>1487</v>
      </c>
      <c r="I92" s="38" t="s">
        <v>1488</v>
      </c>
      <c r="J92" s="38" t="s">
        <v>1489</v>
      </c>
      <c r="K92" s="40" t="s">
        <v>1490</v>
      </c>
      <c r="L92" s="38"/>
      <c r="M92" s="39" t="b">
        <v>0</v>
      </c>
    </row>
    <row r="93" spans="1:13" ht="27.95" customHeight="1">
      <c r="A93" s="38" t="s">
        <v>579</v>
      </c>
      <c r="B93" s="38" t="s">
        <v>584</v>
      </c>
      <c r="C93" s="38" t="s">
        <v>1494</v>
      </c>
      <c r="D93" s="38" t="s">
        <v>1495</v>
      </c>
      <c r="E93" s="39" t="s">
        <v>293</v>
      </c>
      <c r="F93" s="38" t="s">
        <v>1291</v>
      </c>
      <c r="G93" s="39">
        <v>200</v>
      </c>
      <c r="H93" s="38" t="s">
        <v>1475</v>
      </c>
      <c r="I93" s="38" t="s">
        <v>1476</v>
      </c>
      <c r="J93" s="38" t="s">
        <v>1477</v>
      </c>
      <c r="K93" s="40" t="s">
        <v>1496</v>
      </c>
      <c r="L93" s="38"/>
      <c r="M93" s="39" t="b">
        <v>1</v>
      </c>
    </row>
    <row r="94" spans="1:13" ht="27.95" customHeight="1">
      <c r="A94" s="38" t="s">
        <v>585</v>
      </c>
      <c r="B94" s="38" t="s">
        <v>589</v>
      </c>
      <c r="C94" s="38" t="s">
        <v>1497</v>
      </c>
      <c r="D94" s="38" t="s">
        <v>1498</v>
      </c>
      <c r="E94" s="39" t="s">
        <v>293</v>
      </c>
      <c r="F94" s="38" t="s">
        <v>1291</v>
      </c>
      <c r="G94" s="39">
        <v>32</v>
      </c>
      <c r="H94" s="38" t="s">
        <v>1487</v>
      </c>
      <c r="I94" s="38" t="s">
        <v>1488</v>
      </c>
      <c r="J94" s="38" t="s">
        <v>1489</v>
      </c>
      <c r="K94" s="40" t="s">
        <v>1328</v>
      </c>
      <c r="L94" s="38"/>
      <c r="M94" s="39" t="b">
        <v>0</v>
      </c>
    </row>
    <row r="95" spans="1:13" ht="27.95" customHeight="1">
      <c r="A95" s="38" t="s">
        <v>590</v>
      </c>
      <c r="B95" s="38" t="s">
        <v>594</v>
      </c>
      <c r="C95" s="38" t="s">
        <v>1499</v>
      </c>
      <c r="D95" s="38" t="s">
        <v>1500</v>
      </c>
      <c r="E95" s="39" t="s">
        <v>293</v>
      </c>
      <c r="F95" s="38" t="s">
        <v>1291</v>
      </c>
      <c r="G95" s="39">
        <v>177</v>
      </c>
      <c r="H95" s="38" t="s">
        <v>1458</v>
      </c>
      <c r="I95" s="38" t="s">
        <v>1501</v>
      </c>
      <c r="J95" s="38" t="s">
        <v>1460</v>
      </c>
      <c r="K95" s="40" t="s">
        <v>1502</v>
      </c>
      <c r="L95" s="38"/>
      <c r="M95" s="39" t="b">
        <v>0</v>
      </c>
    </row>
    <row r="96" spans="1:13" ht="27.95" customHeight="1">
      <c r="A96" s="38" t="s">
        <v>595</v>
      </c>
      <c r="B96" s="38" t="s">
        <v>599</v>
      </c>
      <c r="C96" s="38" t="s">
        <v>1499</v>
      </c>
      <c r="D96" s="38" t="s">
        <v>1503</v>
      </c>
      <c r="E96" s="39" t="s">
        <v>293</v>
      </c>
      <c r="F96" s="38" t="s">
        <v>1291</v>
      </c>
      <c r="G96" s="39">
        <v>177</v>
      </c>
      <c r="H96" s="38" t="s">
        <v>1458</v>
      </c>
      <c r="I96" s="38" t="s">
        <v>1501</v>
      </c>
      <c r="J96" s="38" t="s">
        <v>1460</v>
      </c>
      <c r="K96" s="40" t="s">
        <v>1502</v>
      </c>
      <c r="L96" s="38"/>
      <c r="M96" s="39" t="b">
        <v>0</v>
      </c>
    </row>
    <row r="97" spans="1:13" ht="27.95" customHeight="1">
      <c r="A97" s="38" t="s">
        <v>600</v>
      </c>
      <c r="B97" s="38" t="s">
        <v>604</v>
      </c>
      <c r="C97" s="38" t="s">
        <v>1504</v>
      </c>
      <c r="D97" s="38" t="s">
        <v>1505</v>
      </c>
      <c r="E97" s="39" t="s">
        <v>293</v>
      </c>
      <c r="F97" s="38" t="s">
        <v>1291</v>
      </c>
      <c r="G97" s="39">
        <v>799</v>
      </c>
      <c r="H97" s="38" t="s">
        <v>1506</v>
      </c>
      <c r="I97" s="38" t="s">
        <v>1507</v>
      </c>
      <c r="J97" s="38" t="s">
        <v>1477</v>
      </c>
      <c r="K97" s="40" t="s">
        <v>1339</v>
      </c>
      <c r="L97" s="38"/>
      <c r="M97" s="39" t="b">
        <v>1</v>
      </c>
    </row>
    <row r="98" spans="1:13" ht="27.95" customHeight="1">
      <c r="A98" s="38" t="s">
        <v>605</v>
      </c>
      <c r="B98" s="38" t="s">
        <v>610</v>
      </c>
      <c r="C98" s="38" t="s">
        <v>1508</v>
      </c>
      <c r="D98" s="38" t="s">
        <v>1509</v>
      </c>
      <c r="E98" s="39" t="s">
        <v>293</v>
      </c>
      <c r="F98" s="38" t="s">
        <v>1291</v>
      </c>
      <c r="G98" s="39">
        <v>132</v>
      </c>
      <c r="H98" s="38" t="s">
        <v>1510</v>
      </c>
      <c r="I98" s="38" t="s">
        <v>1511</v>
      </c>
      <c r="J98" s="38" t="s">
        <v>1477</v>
      </c>
      <c r="K98" s="40" t="s">
        <v>1512</v>
      </c>
      <c r="L98" s="38"/>
      <c r="M98" s="39" t="b">
        <v>1</v>
      </c>
    </row>
    <row r="99" spans="1:13" ht="27.95" customHeight="1">
      <c r="A99" s="38" t="s">
        <v>611</v>
      </c>
      <c r="B99" s="38" t="s">
        <v>615</v>
      </c>
      <c r="C99" s="38" t="s">
        <v>1513</v>
      </c>
      <c r="D99" s="38" t="s">
        <v>1514</v>
      </c>
      <c r="E99" s="39" t="s">
        <v>293</v>
      </c>
      <c r="F99" s="38" t="s">
        <v>1291</v>
      </c>
      <c r="G99" s="39">
        <v>200</v>
      </c>
      <c r="H99" s="38" t="s">
        <v>1475</v>
      </c>
      <c r="I99" s="38" t="s">
        <v>1476</v>
      </c>
      <c r="J99" s="38" t="s">
        <v>1477</v>
      </c>
      <c r="K99" s="40" t="s">
        <v>1515</v>
      </c>
      <c r="L99" s="38"/>
      <c r="M99" s="39" t="b">
        <v>1</v>
      </c>
    </row>
    <row r="100" spans="1:13" ht="27.95" customHeight="1">
      <c r="A100" s="38" t="s">
        <v>616</v>
      </c>
      <c r="B100" s="38" t="s">
        <v>620</v>
      </c>
      <c r="C100" s="38" t="s">
        <v>1516</v>
      </c>
      <c r="D100" s="38" t="s">
        <v>1517</v>
      </c>
      <c r="E100" s="39" t="s">
        <v>293</v>
      </c>
      <c r="F100" s="38" t="s">
        <v>1291</v>
      </c>
      <c r="G100" s="39">
        <v>32</v>
      </c>
      <c r="H100" s="38" t="s">
        <v>1518</v>
      </c>
      <c r="I100" s="38" t="s">
        <v>1519</v>
      </c>
      <c r="J100" s="38" t="s">
        <v>1520</v>
      </c>
      <c r="K100" s="40" t="s">
        <v>1521</v>
      </c>
      <c r="L100" s="38"/>
      <c r="M100" s="39" t="b">
        <v>0</v>
      </c>
    </row>
    <row r="101" spans="1:13" ht="27.95" customHeight="1">
      <c r="A101" s="38" t="s">
        <v>621</v>
      </c>
      <c r="B101" s="38" t="s">
        <v>626</v>
      </c>
      <c r="C101" s="38" t="s">
        <v>1516</v>
      </c>
      <c r="D101" s="38" t="s">
        <v>1522</v>
      </c>
      <c r="E101" s="39" t="s">
        <v>293</v>
      </c>
      <c r="F101" s="38" t="s">
        <v>1291</v>
      </c>
      <c r="G101" s="39">
        <v>32</v>
      </c>
      <c r="H101" s="38" t="s">
        <v>1518</v>
      </c>
      <c r="I101" s="38" t="s">
        <v>1519</v>
      </c>
      <c r="J101" s="38" t="s">
        <v>1520</v>
      </c>
      <c r="K101" s="40" t="s">
        <v>1521</v>
      </c>
      <c r="L101" s="38"/>
      <c r="M101" s="39" t="b">
        <v>0</v>
      </c>
    </row>
    <row r="102" spans="1:13" ht="27.95" customHeight="1">
      <c r="A102" s="38" t="s">
        <v>627</v>
      </c>
      <c r="B102" s="38" t="s">
        <v>631</v>
      </c>
      <c r="C102" s="38" t="s">
        <v>1523</v>
      </c>
      <c r="D102" s="38" t="s">
        <v>1524</v>
      </c>
      <c r="E102" s="39" t="s">
        <v>293</v>
      </c>
      <c r="F102" s="38" t="s">
        <v>1291</v>
      </c>
      <c r="G102" s="39">
        <v>200</v>
      </c>
      <c r="H102" s="38" t="s">
        <v>1475</v>
      </c>
      <c r="I102" s="38" t="s">
        <v>1476</v>
      </c>
      <c r="J102" s="38" t="s">
        <v>1477</v>
      </c>
      <c r="K102" s="40" t="s">
        <v>1342</v>
      </c>
      <c r="L102" s="38"/>
      <c r="M102" s="39" t="b">
        <v>1</v>
      </c>
    </row>
    <row r="103" spans="1:13" ht="27.95" customHeight="1">
      <c r="A103" s="38" t="s">
        <v>632</v>
      </c>
      <c r="B103" s="38" t="s">
        <v>637</v>
      </c>
      <c r="C103" s="38" t="s">
        <v>1516</v>
      </c>
      <c r="D103" s="38" t="s">
        <v>1525</v>
      </c>
      <c r="E103" s="39" t="s">
        <v>293</v>
      </c>
      <c r="F103" s="38" t="s">
        <v>1291</v>
      </c>
      <c r="G103" s="39">
        <v>32</v>
      </c>
      <c r="H103" s="38" t="s">
        <v>1518</v>
      </c>
      <c r="I103" s="38" t="s">
        <v>1519</v>
      </c>
      <c r="J103" s="38" t="s">
        <v>1520</v>
      </c>
      <c r="K103" s="40" t="s">
        <v>1521</v>
      </c>
      <c r="L103" s="38"/>
      <c r="M103" s="39" t="b">
        <v>0</v>
      </c>
    </row>
    <row r="104" spans="1:13" ht="27.95" customHeight="1">
      <c r="A104" s="38" t="s">
        <v>638</v>
      </c>
      <c r="B104" s="38" t="s">
        <v>643</v>
      </c>
      <c r="C104" s="38" t="s">
        <v>1526</v>
      </c>
      <c r="D104" s="38" t="s">
        <v>1527</v>
      </c>
      <c r="E104" s="39" t="s">
        <v>293</v>
      </c>
      <c r="F104" s="38" t="s">
        <v>1291</v>
      </c>
      <c r="G104" s="39">
        <v>32</v>
      </c>
      <c r="H104" s="38" t="s">
        <v>1518</v>
      </c>
      <c r="I104" s="38" t="s">
        <v>1519</v>
      </c>
      <c r="J104" s="38" t="s">
        <v>1520</v>
      </c>
      <c r="K104" s="40" t="s">
        <v>1521</v>
      </c>
      <c r="L104" s="38"/>
      <c r="M104" s="39" t="b">
        <v>0</v>
      </c>
    </row>
    <row r="105" spans="1:13" ht="27.95" customHeight="1">
      <c r="A105" s="38" t="s">
        <v>644</v>
      </c>
      <c r="B105" s="38" t="s">
        <v>649</v>
      </c>
      <c r="C105" s="38" t="s">
        <v>1526</v>
      </c>
      <c r="D105" s="38" t="s">
        <v>1528</v>
      </c>
      <c r="E105" s="39" t="s">
        <v>293</v>
      </c>
      <c r="F105" s="38" t="s">
        <v>1291</v>
      </c>
      <c r="G105" s="39">
        <v>32</v>
      </c>
      <c r="H105" s="38" t="s">
        <v>1518</v>
      </c>
      <c r="I105" s="38" t="s">
        <v>1519</v>
      </c>
      <c r="J105" s="38" t="s">
        <v>1520</v>
      </c>
      <c r="K105" s="40" t="s">
        <v>1521</v>
      </c>
      <c r="L105" s="38"/>
      <c r="M105" s="39" t="b">
        <v>0</v>
      </c>
    </row>
    <row r="106" spans="1:13" ht="27.95" customHeight="1">
      <c r="A106" s="38" t="s">
        <v>650</v>
      </c>
      <c r="B106" s="38" t="s">
        <v>655</v>
      </c>
      <c r="C106" s="38" t="s">
        <v>1526</v>
      </c>
      <c r="D106" s="38" t="s">
        <v>1529</v>
      </c>
      <c r="E106" s="39" t="s">
        <v>293</v>
      </c>
      <c r="F106" s="38" t="s">
        <v>1291</v>
      </c>
      <c r="G106" s="39">
        <v>32</v>
      </c>
      <c r="H106" s="38" t="s">
        <v>1518</v>
      </c>
      <c r="I106" s="38" t="s">
        <v>1519</v>
      </c>
      <c r="J106" s="38" t="s">
        <v>1520</v>
      </c>
      <c r="K106" s="40" t="s">
        <v>1521</v>
      </c>
      <c r="L106" s="38"/>
      <c r="M106" s="39" t="b">
        <v>0</v>
      </c>
    </row>
    <row r="107" spans="1:13" ht="27.95" customHeight="1">
      <c r="A107" s="38" t="s">
        <v>656</v>
      </c>
      <c r="B107" s="38" t="s">
        <v>661</v>
      </c>
      <c r="C107" s="38" t="s">
        <v>1526</v>
      </c>
      <c r="D107" s="38" t="s">
        <v>1530</v>
      </c>
      <c r="E107" s="39" t="s">
        <v>293</v>
      </c>
      <c r="F107" s="38" t="s">
        <v>1291</v>
      </c>
      <c r="G107" s="39">
        <v>32</v>
      </c>
      <c r="H107" s="38" t="s">
        <v>1518</v>
      </c>
      <c r="I107" s="38" t="s">
        <v>1519</v>
      </c>
      <c r="J107" s="38" t="s">
        <v>1520</v>
      </c>
      <c r="K107" s="40" t="s">
        <v>1521</v>
      </c>
      <c r="L107" s="38"/>
      <c r="M107" s="39" t="b">
        <v>0</v>
      </c>
    </row>
    <row r="108" spans="1:13" ht="27.95" customHeight="1">
      <c r="A108" s="38" t="s">
        <v>662</v>
      </c>
      <c r="B108" s="38" t="s">
        <v>667</v>
      </c>
      <c r="C108" s="38" t="s">
        <v>1531</v>
      </c>
      <c r="D108" s="38" t="s">
        <v>1532</v>
      </c>
      <c r="E108" s="39" t="s">
        <v>293</v>
      </c>
      <c r="F108" s="38" t="s">
        <v>1266</v>
      </c>
      <c r="G108" s="39">
        <v>4</v>
      </c>
      <c r="H108" s="38" t="s">
        <v>1533</v>
      </c>
      <c r="I108" s="38" t="s">
        <v>1534</v>
      </c>
      <c r="J108" s="38" t="s">
        <v>1535</v>
      </c>
      <c r="K108" s="40" t="s">
        <v>1536</v>
      </c>
      <c r="L108" s="38"/>
      <c r="M108" s="39" t="b">
        <v>0</v>
      </c>
    </row>
    <row r="109" spans="1:13" ht="27.95" customHeight="1">
      <c r="A109" s="38" t="s">
        <v>668</v>
      </c>
      <c r="B109" s="38" t="s">
        <v>673</v>
      </c>
      <c r="C109" s="38" t="s">
        <v>1531</v>
      </c>
      <c r="D109" s="38" t="s">
        <v>1537</v>
      </c>
      <c r="E109" s="39" t="s">
        <v>293</v>
      </c>
      <c r="F109" s="38" t="s">
        <v>1266</v>
      </c>
      <c r="G109" s="39">
        <v>4</v>
      </c>
      <c r="H109" s="38" t="s">
        <v>1533</v>
      </c>
      <c r="I109" s="38" t="s">
        <v>1534</v>
      </c>
      <c r="J109" s="38" t="s">
        <v>1535</v>
      </c>
      <c r="K109" s="40" t="s">
        <v>1536</v>
      </c>
      <c r="L109" s="38"/>
      <c r="M109" s="39" t="b">
        <v>0</v>
      </c>
    </row>
    <row r="110" spans="1:13" ht="27.95" customHeight="1">
      <c r="A110" s="38" t="s">
        <v>674</v>
      </c>
      <c r="B110" s="38" t="s">
        <v>679</v>
      </c>
      <c r="C110" s="38" t="s">
        <v>1531</v>
      </c>
      <c r="D110" s="38" t="s">
        <v>1538</v>
      </c>
      <c r="E110" s="39" t="s">
        <v>293</v>
      </c>
      <c r="F110" s="38" t="s">
        <v>1266</v>
      </c>
      <c r="G110" s="39">
        <v>4</v>
      </c>
      <c r="H110" s="38" t="s">
        <v>1533</v>
      </c>
      <c r="I110" s="38" t="s">
        <v>1534</v>
      </c>
      <c r="J110" s="38" t="s">
        <v>1535</v>
      </c>
      <c r="K110" s="40" t="s">
        <v>1536</v>
      </c>
      <c r="L110" s="38"/>
      <c r="M110" s="39" t="b">
        <v>0</v>
      </c>
    </row>
    <row r="111" spans="1:13" ht="27.95" customHeight="1">
      <c r="A111" s="38" t="s">
        <v>680</v>
      </c>
      <c r="B111" s="38" t="s">
        <v>685</v>
      </c>
      <c r="C111" s="38" t="s">
        <v>1539</v>
      </c>
      <c r="D111" s="38" t="s">
        <v>1540</v>
      </c>
      <c r="E111" s="39" t="s">
        <v>293</v>
      </c>
      <c r="F111" s="38" t="s">
        <v>1266</v>
      </c>
      <c r="G111" s="39">
        <v>4</v>
      </c>
      <c r="H111" s="38" t="s">
        <v>1533</v>
      </c>
      <c r="I111" s="38" t="s">
        <v>1534</v>
      </c>
      <c r="J111" s="38" t="s">
        <v>1535</v>
      </c>
      <c r="K111" s="40" t="s">
        <v>1536</v>
      </c>
      <c r="L111" s="38"/>
      <c r="M111" s="39" t="b">
        <v>0</v>
      </c>
    </row>
    <row r="112" spans="1:13" ht="27.95" customHeight="1">
      <c r="A112" s="38" t="s">
        <v>686</v>
      </c>
      <c r="B112" s="38" t="s">
        <v>691</v>
      </c>
      <c r="C112" s="38" t="s">
        <v>1539</v>
      </c>
      <c r="D112" s="38" t="s">
        <v>1541</v>
      </c>
      <c r="E112" s="39" t="s">
        <v>293</v>
      </c>
      <c r="F112" s="38" t="s">
        <v>1266</v>
      </c>
      <c r="G112" s="39">
        <v>4</v>
      </c>
      <c r="H112" s="38" t="s">
        <v>1533</v>
      </c>
      <c r="I112" s="38" t="s">
        <v>1534</v>
      </c>
      <c r="J112" s="38" t="s">
        <v>1535</v>
      </c>
      <c r="K112" s="40" t="s">
        <v>1536</v>
      </c>
      <c r="L112" s="38"/>
      <c r="M112" s="39" t="b">
        <v>0</v>
      </c>
    </row>
    <row r="113" spans="1:13" ht="27.95" customHeight="1">
      <c r="A113" s="38" t="s">
        <v>692</v>
      </c>
      <c r="B113" s="38" t="s">
        <v>696</v>
      </c>
      <c r="C113" s="38" t="s">
        <v>1542</v>
      </c>
      <c r="D113" s="38" t="s">
        <v>1543</v>
      </c>
      <c r="E113" s="39" t="s">
        <v>293</v>
      </c>
      <c r="F113" s="38" t="s">
        <v>1273</v>
      </c>
      <c r="G113" s="39">
        <v>5</v>
      </c>
      <c r="H113" s="38" t="s">
        <v>1544</v>
      </c>
      <c r="I113" s="38" t="s">
        <v>1545</v>
      </c>
      <c r="J113" s="38" t="s">
        <v>1347</v>
      </c>
      <c r="K113" s="40" t="s">
        <v>1277</v>
      </c>
      <c r="L113" s="38"/>
      <c r="M113" s="39" t="b">
        <v>0</v>
      </c>
    </row>
    <row r="114" spans="1:13" ht="27.95" customHeight="1">
      <c r="A114" s="38" t="s">
        <v>697</v>
      </c>
      <c r="B114" s="38" t="s">
        <v>701</v>
      </c>
      <c r="C114" s="38" t="s">
        <v>1542</v>
      </c>
      <c r="D114" s="38" t="s">
        <v>1546</v>
      </c>
      <c r="E114" s="39" t="s">
        <v>293</v>
      </c>
      <c r="F114" s="38" t="s">
        <v>1273</v>
      </c>
      <c r="G114" s="39">
        <v>5</v>
      </c>
      <c r="H114" s="38" t="s">
        <v>1544</v>
      </c>
      <c r="I114" s="38" t="s">
        <v>1545</v>
      </c>
      <c r="J114" s="38" t="s">
        <v>1347</v>
      </c>
      <c r="K114" s="40" t="s">
        <v>1277</v>
      </c>
      <c r="L114" s="38"/>
      <c r="M114" s="39" t="b">
        <v>0</v>
      </c>
    </row>
    <row r="115" spans="1:13" ht="27.95" customHeight="1">
      <c r="A115" s="38" t="s">
        <v>702</v>
      </c>
      <c r="B115" s="38" t="s">
        <v>706</v>
      </c>
      <c r="C115" s="38" t="s">
        <v>1542</v>
      </c>
      <c r="D115" s="38" t="s">
        <v>1547</v>
      </c>
      <c r="E115" s="39" t="s">
        <v>293</v>
      </c>
      <c r="F115" s="38" t="s">
        <v>1273</v>
      </c>
      <c r="G115" s="39">
        <v>5</v>
      </c>
      <c r="H115" s="38" t="s">
        <v>1544</v>
      </c>
      <c r="I115" s="38" t="s">
        <v>1545</v>
      </c>
      <c r="J115" s="38" t="s">
        <v>1347</v>
      </c>
      <c r="K115" s="40" t="s">
        <v>1277</v>
      </c>
      <c r="L115" s="38"/>
      <c r="M115" s="39" t="b">
        <v>0</v>
      </c>
    </row>
    <row r="116" spans="1:13" ht="27.95" customHeight="1">
      <c r="A116" s="38" t="s">
        <v>707</v>
      </c>
      <c r="B116" s="38" t="s">
        <v>712</v>
      </c>
      <c r="C116" s="38" t="s">
        <v>1548</v>
      </c>
      <c r="D116" s="38" t="s">
        <v>1549</v>
      </c>
      <c r="E116" s="39" t="s">
        <v>293</v>
      </c>
      <c r="F116" s="38" t="s">
        <v>1291</v>
      </c>
      <c r="G116" s="39">
        <v>200</v>
      </c>
      <c r="H116" s="38" t="s">
        <v>1475</v>
      </c>
      <c r="I116" s="38" t="s">
        <v>1476</v>
      </c>
      <c r="J116" s="38" t="s">
        <v>1477</v>
      </c>
      <c r="K116" s="40" t="s">
        <v>1550</v>
      </c>
      <c r="L116" s="38"/>
      <c r="M116" s="39" t="b">
        <v>1</v>
      </c>
    </row>
    <row r="117" spans="1:13" ht="27.95" customHeight="1">
      <c r="A117" s="38" t="s">
        <v>713</v>
      </c>
      <c r="B117" s="38" t="s">
        <v>717</v>
      </c>
      <c r="C117" s="38" t="s">
        <v>1551</v>
      </c>
      <c r="D117" s="38" t="s">
        <v>1552</v>
      </c>
      <c r="E117" s="39" t="s">
        <v>293</v>
      </c>
      <c r="F117" s="38" t="s">
        <v>1291</v>
      </c>
      <c r="G117" s="39">
        <v>28</v>
      </c>
      <c r="H117" s="38" t="s">
        <v>1553</v>
      </c>
      <c r="I117" s="38" t="s">
        <v>1554</v>
      </c>
      <c r="J117" s="38" t="s">
        <v>1354</v>
      </c>
      <c r="K117" s="40" t="s">
        <v>1355</v>
      </c>
      <c r="L117" s="38"/>
      <c r="M117" s="39" t="b">
        <v>1</v>
      </c>
    </row>
    <row r="118" spans="1:13" ht="27.95" customHeight="1">
      <c r="A118" s="38" t="s">
        <v>718</v>
      </c>
      <c r="B118" s="38" t="s">
        <v>722</v>
      </c>
      <c r="C118" s="38" t="s">
        <v>1555</v>
      </c>
      <c r="D118" s="38" t="s">
        <v>1556</v>
      </c>
      <c r="E118" s="39" t="s">
        <v>293</v>
      </c>
      <c r="F118" s="38" t="s">
        <v>1291</v>
      </c>
      <c r="G118" s="39">
        <v>13</v>
      </c>
      <c r="H118" s="38" t="s">
        <v>1557</v>
      </c>
      <c r="I118" s="38" t="s">
        <v>1558</v>
      </c>
      <c r="J118" s="38" t="s">
        <v>1559</v>
      </c>
      <c r="K118" s="40" t="s">
        <v>1361</v>
      </c>
      <c r="L118" s="38"/>
      <c r="M118" s="39" t="b">
        <v>0</v>
      </c>
    </row>
    <row r="119" spans="1:13" ht="27.95" customHeight="1">
      <c r="A119" s="38" t="s">
        <v>723</v>
      </c>
      <c r="B119" s="38" t="s">
        <v>727</v>
      </c>
      <c r="C119" s="38" t="s">
        <v>1560</v>
      </c>
      <c r="D119" s="38" t="s">
        <v>1561</v>
      </c>
      <c r="E119" s="39" t="s">
        <v>293</v>
      </c>
      <c r="F119" s="38" t="s">
        <v>1291</v>
      </c>
      <c r="G119" s="39">
        <v>406</v>
      </c>
      <c r="H119" s="38" t="s">
        <v>1562</v>
      </c>
      <c r="I119" s="38" t="s">
        <v>1563</v>
      </c>
      <c r="J119" s="38" t="s">
        <v>1199</v>
      </c>
      <c r="K119" s="40" t="s">
        <v>1366</v>
      </c>
      <c r="L119" s="38"/>
      <c r="M119" s="39" t="b">
        <v>1</v>
      </c>
    </row>
    <row r="120" spans="1:13" ht="27.95" customHeight="1">
      <c r="A120" s="38" t="s">
        <v>728</v>
      </c>
      <c r="B120" s="38" t="s">
        <v>732</v>
      </c>
      <c r="C120" s="38" t="s">
        <v>1564</v>
      </c>
      <c r="D120" s="38" t="s">
        <v>1565</v>
      </c>
      <c r="E120" s="39" t="s">
        <v>293</v>
      </c>
      <c r="F120" s="38" t="s">
        <v>1291</v>
      </c>
      <c r="G120" s="39">
        <v>26</v>
      </c>
      <c r="H120" s="38" t="s">
        <v>1566</v>
      </c>
      <c r="I120" s="38" t="s">
        <v>1567</v>
      </c>
      <c r="J120" s="38" t="s">
        <v>1489</v>
      </c>
      <c r="K120" s="40" t="s">
        <v>1568</v>
      </c>
      <c r="L120" s="38"/>
      <c r="M120" s="39" t="b">
        <v>0</v>
      </c>
    </row>
    <row r="121" spans="1:13" ht="27.95" customHeight="1">
      <c r="A121" s="38" t="s">
        <v>733</v>
      </c>
      <c r="B121" s="38" t="s">
        <v>737</v>
      </c>
      <c r="C121" s="38" t="s">
        <v>1564</v>
      </c>
      <c r="D121" s="38" t="s">
        <v>1569</v>
      </c>
      <c r="E121" s="39" t="s">
        <v>293</v>
      </c>
      <c r="F121" s="38" t="s">
        <v>1291</v>
      </c>
      <c r="G121" s="39">
        <v>26</v>
      </c>
      <c r="H121" s="38" t="s">
        <v>1566</v>
      </c>
      <c r="I121" s="38" t="s">
        <v>1567</v>
      </c>
      <c r="J121" s="38" t="s">
        <v>1489</v>
      </c>
      <c r="K121" s="40" t="s">
        <v>1568</v>
      </c>
      <c r="L121" s="38"/>
      <c r="M121" s="39" t="b">
        <v>0</v>
      </c>
    </row>
    <row r="122" spans="1:13" ht="27.95" customHeight="1">
      <c r="A122" s="38" t="s">
        <v>738</v>
      </c>
      <c r="B122" s="38" t="s">
        <v>742</v>
      </c>
      <c r="C122" s="38" t="s">
        <v>1564</v>
      </c>
      <c r="D122" s="38" t="s">
        <v>1570</v>
      </c>
      <c r="E122" s="39" t="s">
        <v>293</v>
      </c>
      <c r="F122" s="38" t="s">
        <v>1291</v>
      </c>
      <c r="G122" s="39">
        <v>26</v>
      </c>
      <c r="H122" s="38" t="s">
        <v>1566</v>
      </c>
      <c r="I122" s="38" t="s">
        <v>1567</v>
      </c>
      <c r="J122" s="38" t="s">
        <v>1489</v>
      </c>
      <c r="K122" s="40" t="s">
        <v>1568</v>
      </c>
      <c r="L122" s="38"/>
      <c r="M122" s="39" t="b">
        <v>0</v>
      </c>
    </row>
    <row r="123" spans="1:13" ht="27.95" customHeight="1">
      <c r="A123" s="38" t="s">
        <v>743</v>
      </c>
      <c r="B123" s="38" t="s">
        <v>747</v>
      </c>
      <c r="C123" s="38" t="s">
        <v>1571</v>
      </c>
      <c r="D123" s="38" t="s">
        <v>1572</v>
      </c>
      <c r="E123" s="39" t="s">
        <v>293</v>
      </c>
      <c r="F123" s="38" t="s">
        <v>1273</v>
      </c>
      <c r="G123" s="39">
        <v>51</v>
      </c>
      <c r="H123" s="38" t="s">
        <v>1573</v>
      </c>
      <c r="I123" s="38" t="s">
        <v>1574</v>
      </c>
      <c r="J123" s="38" t="s">
        <v>1575</v>
      </c>
      <c r="K123" s="40" t="s">
        <v>1576</v>
      </c>
      <c r="L123" s="38"/>
      <c r="M123" s="39" t="b">
        <v>0</v>
      </c>
    </row>
    <row r="124" spans="1:13" ht="27.95" customHeight="1">
      <c r="A124" s="38" t="s">
        <v>748</v>
      </c>
      <c r="B124" s="38" t="s">
        <v>752</v>
      </c>
      <c r="C124" s="38" t="s">
        <v>1577</v>
      </c>
      <c r="D124" s="38" t="s">
        <v>1578</v>
      </c>
      <c r="E124" s="39" t="s">
        <v>293</v>
      </c>
      <c r="F124" s="38" t="s">
        <v>1291</v>
      </c>
      <c r="G124" s="39">
        <v>168</v>
      </c>
      <c r="H124" s="38" t="s">
        <v>1579</v>
      </c>
      <c r="I124" s="38" t="s">
        <v>1580</v>
      </c>
      <c r="J124" s="38" t="s">
        <v>1581</v>
      </c>
      <c r="K124" s="40" t="s">
        <v>1372</v>
      </c>
      <c r="L124" s="38"/>
      <c r="M124" s="39" t="b">
        <v>0</v>
      </c>
    </row>
    <row r="125" spans="1:13" ht="27.95" customHeight="1">
      <c r="A125" s="38" t="s">
        <v>753</v>
      </c>
      <c r="B125" s="38" t="s">
        <v>757</v>
      </c>
      <c r="C125" s="38" t="s">
        <v>1577</v>
      </c>
      <c r="D125" s="38" t="s">
        <v>1582</v>
      </c>
      <c r="E125" s="39" t="s">
        <v>293</v>
      </c>
      <c r="F125" s="38" t="s">
        <v>1291</v>
      </c>
      <c r="G125" s="39">
        <v>168</v>
      </c>
      <c r="H125" s="38" t="s">
        <v>1579</v>
      </c>
      <c r="I125" s="38" t="s">
        <v>1580</v>
      </c>
      <c r="J125" s="38" t="s">
        <v>1581</v>
      </c>
      <c r="K125" s="40" t="s">
        <v>1372</v>
      </c>
      <c r="L125" s="38"/>
      <c r="M125" s="39" t="b">
        <v>0</v>
      </c>
    </row>
    <row r="126" spans="1:13" ht="27.95" customHeight="1">
      <c r="A126" s="38" t="s">
        <v>758</v>
      </c>
      <c r="B126" s="38" t="s">
        <v>762</v>
      </c>
      <c r="C126" s="38" t="s">
        <v>1583</v>
      </c>
      <c r="D126" s="38" t="s">
        <v>1584</v>
      </c>
      <c r="E126" s="39" t="s">
        <v>293</v>
      </c>
      <c r="F126" s="38" t="s">
        <v>1291</v>
      </c>
      <c r="G126" s="39">
        <v>45</v>
      </c>
      <c r="H126" s="38" t="s">
        <v>1585</v>
      </c>
      <c r="I126" s="38" t="s">
        <v>1586</v>
      </c>
      <c r="J126" s="38" t="s">
        <v>1587</v>
      </c>
      <c r="K126" s="40" t="s">
        <v>1588</v>
      </c>
      <c r="L126" s="38"/>
      <c r="M126" s="39" t="b">
        <v>0</v>
      </c>
    </row>
    <row r="127" spans="1:13" ht="27.95" customHeight="1">
      <c r="A127" s="38" t="s">
        <v>763</v>
      </c>
      <c r="B127" s="38" t="s">
        <v>767</v>
      </c>
      <c r="C127" s="38" t="s">
        <v>1589</v>
      </c>
      <c r="D127" s="38" t="s">
        <v>1590</v>
      </c>
      <c r="E127" s="39" t="s">
        <v>293</v>
      </c>
      <c r="F127" s="38" t="s">
        <v>1291</v>
      </c>
      <c r="G127" s="39">
        <v>122</v>
      </c>
      <c r="H127" s="38" t="s">
        <v>1591</v>
      </c>
      <c r="I127" s="38" t="s">
        <v>1592</v>
      </c>
      <c r="J127" s="38" t="s">
        <v>1593</v>
      </c>
      <c r="K127" s="40" t="s">
        <v>1381</v>
      </c>
      <c r="L127" s="38"/>
      <c r="M127" s="39" t="b">
        <v>1</v>
      </c>
    </row>
    <row r="128" spans="1:13" ht="27.95" customHeight="1">
      <c r="A128" s="38" t="s">
        <v>768</v>
      </c>
      <c r="B128" s="38" t="s">
        <v>772</v>
      </c>
      <c r="C128" s="38" t="s">
        <v>1594</v>
      </c>
      <c r="D128" s="38" t="s">
        <v>1595</v>
      </c>
      <c r="E128" s="39" t="s">
        <v>293</v>
      </c>
      <c r="F128" s="38" t="s">
        <v>1291</v>
      </c>
      <c r="G128" s="39">
        <v>78</v>
      </c>
      <c r="H128" s="38" t="s">
        <v>1596</v>
      </c>
      <c r="I128" s="38" t="s">
        <v>1597</v>
      </c>
      <c r="J128" s="38" t="s">
        <v>1598</v>
      </c>
      <c r="K128" s="40" t="s">
        <v>1388</v>
      </c>
      <c r="L128" s="38"/>
      <c r="M128" s="39" t="b">
        <v>1</v>
      </c>
    </row>
    <row r="129" spans="1:13" ht="27.95" customHeight="1">
      <c r="A129" s="38" t="s">
        <v>773</v>
      </c>
      <c r="B129" s="38" t="s">
        <v>777</v>
      </c>
      <c r="C129" s="38" t="s">
        <v>1599</v>
      </c>
      <c r="D129" s="38" t="s">
        <v>1600</v>
      </c>
      <c r="E129" s="39" t="s">
        <v>293</v>
      </c>
      <c r="F129" s="38" t="s">
        <v>1291</v>
      </c>
      <c r="G129" s="39">
        <v>406</v>
      </c>
      <c r="H129" s="38" t="s">
        <v>1601</v>
      </c>
      <c r="I129" s="38" t="s">
        <v>1602</v>
      </c>
      <c r="J129" s="38" t="s">
        <v>1603</v>
      </c>
      <c r="K129" s="40" t="s">
        <v>1604</v>
      </c>
      <c r="L129" s="38"/>
      <c r="M129" s="39" t="b">
        <v>0</v>
      </c>
    </row>
    <row r="130" spans="1:13" ht="27.95" customHeight="1">
      <c r="A130" s="38" t="s">
        <v>778</v>
      </c>
      <c r="B130" s="38" t="s">
        <v>782</v>
      </c>
      <c r="C130" s="38" t="s">
        <v>1605</v>
      </c>
      <c r="D130" s="38" t="s">
        <v>1606</v>
      </c>
      <c r="E130" s="39" t="s">
        <v>293</v>
      </c>
      <c r="F130" s="38" t="s">
        <v>1273</v>
      </c>
      <c r="G130" s="39">
        <v>3</v>
      </c>
      <c r="H130" s="38" t="s">
        <v>1607</v>
      </c>
      <c r="I130" s="38" t="s">
        <v>1608</v>
      </c>
      <c r="J130" s="38" t="s">
        <v>1609</v>
      </c>
      <c r="K130" s="40" t="s">
        <v>1610</v>
      </c>
      <c r="L130" s="38"/>
      <c r="M130" s="39" t="b">
        <v>0</v>
      </c>
    </row>
    <row r="131" spans="1:13" ht="27.95" customHeight="1">
      <c r="A131" s="38" t="s">
        <v>783</v>
      </c>
      <c r="B131" s="38" t="s">
        <v>787</v>
      </c>
      <c r="C131" s="38" t="s">
        <v>1605</v>
      </c>
      <c r="D131" s="38" t="s">
        <v>1611</v>
      </c>
      <c r="E131" s="39" t="s">
        <v>293</v>
      </c>
      <c r="F131" s="38" t="s">
        <v>1273</v>
      </c>
      <c r="G131" s="39">
        <v>3</v>
      </c>
      <c r="H131" s="38" t="s">
        <v>1607</v>
      </c>
      <c r="I131" s="38" t="s">
        <v>1608</v>
      </c>
      <c r="J131" s="38" t="s">
        <v>1609</v>
      </c>
      <c r="K131" s="40" t="s">
        <v>1610</v>
      </c>
      <c r="L131" s="38"/>
      <c r="M131" s="39" t="b">
        <v>0</v>
      </c>
    </row>
    <row r="132" spans="1:13" ht="27.95" customHeight="1">
      <c r="A132" s="38" t="s">
        <v>788</v>
      </c>
      <c r="B132" s="38" t="s">
        <v>792</v>
      </c>
      <c r="C132" s="38" t="s">
        <v>1612</v>
      </c>
      <c r="D132" s="38" t="s">
        <v>1613</v>
      </c>
      <c r="E132" s="39" t="s">
        <v>293</v>
      </c>
      <c r="F132" s="38" t="s">
        <v>1273</v>
      </c>
      <c r="G132" s="39">
        <v>7</v>
      </c>
      <c r="H132" s="38" t="s">
        <v>1607</v>
      </c>
      <c r="I132" s="38" t="s">
        <v>1608</v>
      </c>
      <c r="J132" s="38" t="s">
        <v>1614</v>
      </c>
      <c r="K132" s="40" t="s">
        <v>1610</v>
      </c>
      <c r="L132" s="38"/>
      <c r="M132" s="39" t="b">
        <v>0</v>
      </c>
    </row>
    <row r="133" spans="1:13" ht="27.95" customHeight="1">
      <c r="A133" s="38" t="s">
        <v>793</v>
      </c>
      <c r="B133" s="38" t="s">
        <v>797</v>
      </c>
      <c r="C133" s="38" t="s">
        <v>1612</v>
      </c>
      <c r="D133" s="38" t="s">
        <v>1615</v>
      </c>
      <c r="E133" s="39" t="s">
        <v>293</v>
      </c>
      <c r="F133" s="38" t="s">
        <v>1273</v>
      </c>
      <c r="G133" s="39">
        <v>7</v>
      </c>
      <c r="H133" s="38" t="s">
        <v>1607</v>
      </c>
      <c r="I133" s="38" t="s">
        <v>1608</v>
      </c>
      <c r="J133" s="38" t="s">
        <v>1614</v>
      </c>
      <c r="K133" s="40" t="s">
        <v>1610</v>
      </c>
      <c r="L133" s="38"/>
      <c r="M133" s="39" t="b">
        <v>0</v>
      </c>
    </row>
    <row r="134" spans="1:13" ht="27.95" customHeight="1">
      <c r="A134" s="38" t="s">
        <v>798</v>
      </c>
      <c r="B134" s="38" t="s">
        <v>802</v>
      </c>
      <c r="C134" s="38" t="s">
        <v>1612</v>
      </c>
      <c r="D134" s="38" t="s">
        <v>1616</v>
      </c>
      <c r="E134" s="39" t="s">
        <v>293</v>
      </c>
      <c r="F134" s="38" t="s">
        <v>1273</v>
      </c>
      <c r="G134" s="39">
        <v>7</v>
      </c>
      <c r="H134" s="38" t="s">
        <v>1607</v>
      </c>
      <c r="I134" s="38" t="s">
        <v>1608</v>
      </c>
      <c r="J134" s="38" t="s">
        <v>1614</v>
      </c>
      <c r="K134" s="40" t="s">
        <v>1610</v>
      </c>
      <c r="L134" s="38"/>
      <c r="M134" s="39" t="b">
        <v>0</v>
      </c>
    </row>
    <row r="135" spans="1:13" ht="27.95" customHeight="1">
      <c r="A135" s="38" t="s">
        <v>803</v>
      </c>
      <c r="B135" s="38" t="s">
        <v>808</v>
      </c>
      <c r="C135" s="38" t="s">
        <v>1612</v>
      </c>
      <c r="D135" s="38" t="s">
        <v>1617</v>
      </c>
      <c r="E135" s="39" t="s">
        <v>293</v>
      </c>
      <c r="F135" s="38" t="s">
        <v>1273</v>
      </c>
      <c r="G135" s="39">
        <v>7</v>
      </c>
      <c r="H135" s="38" t="s">
        <v>1607</v>
      </c>
      <c r="I135" s="38" t="s">
        <v>1608</v>
      </c>
      <c r="J135" s="38" t="s">
        <v>1614</v>
      </c>
      <c r="K135" s="40" t="s">
        <v>1610</v>
      </c>
      <c r="L135" s="38"/>
      <c r="M135" s="39" t="b">
        <v>0</v>
      </c>
    </row>
    <row r="136" spans="1:13" ht="27.95" customHeight="1">
      <c r="A136" s="38" t="s">
        <v>809</v>
      </c>
      <c r="B136" s="38" t="s">
        <v>814</v>
      </c>
      <c r="C136" s="38" t="s">
        <v>1612</v>
      </c>
      <c r="D136" s="38" t="s">
        <v>1618</v>
      </c>
      <c r="E136" s="39" t="s">
        <v>293</v>
      </c>
      <c r="F136" s="38" t="s">
        <v>1273</v>
      </c>
      <c r="G136" s="39">
        <v>7</v>
      </c>
      <c r="H136" s="38" t="s">
        <v>1607</v>
      </c>
      <c r="I136" s="38" t="s">
        <v>1608</v>
      </c>
      <c r="J136" s="38" t="s">
        <v>1614</v>
      </c>
      <c r="K136" s="40" t="s">
        <v>1610</v>
      </c>
      <c r="L136" s="38"/>
      <c r="M136" s="39" t="b">
        <v>0</v>
      </c>
    </row>
    <row r="137" spans="1:13" ht="27.95" customHeight="1">
      <c r="A137" s="38" t="s">
        <v>815</v>
      </c>
      <c r="B137" s="38" t="s">
        <v>820</v>
      </c>
      <c r="C137" s="38" t="s">
        <v>1612</v>
      </c>
      <c r="D137" s="38" t="s">
        <v>1619</v>
      </c>
      <c r="E137" s="39" t="s">
        <v>293</v>
      </c>
      <c r="F137" s="38" t="s">
        <v>1273</v>
      </c>
      <c r="G137" s="39">
        <v>7</v>
      </c>
      <c r="H137" s="38" t="s">
        <v>1607</v>
      </c>
      <c r="I137" s="38" t="s">
        <v>1608</v>
      </c>
      <c r="J137" s="38" t="s">
        <v>1614</v>
      </c>
      <c r="K137" s="40" t="s">
        <v>1610</v>
      </c>
      <c r="L137" s="38"/>
      <c r="M137" s="39" t="b">
        <v>0</v>
      </c>
    </row>
    <row r="138" spans="1:13" ht="27.95" customHeight="1">
      <c r="A138" s="38" t="s">
        <v>821</v>
      </c>
      <c r="B138" s="38" t="s">
        <v>826</v>
      </c>
      <c r="C138" s="38" t="s">
        <v>1612</v>
      </c>
      <c r="D138" s="38" t="s">
        <v>1620</v>
      </c>
      <c r="E138" s="39" t="s">
        <v>293</v>
      </c>
      <c r="F138" s="38" t="s">
        <v>1273</v>
      </c>
      <c r="G138" s="39">
        <v>7</v>
      </c>
      <c r="H138" s="38" t="s">
        <v>1607</v>
      </c>
      <c r="I138" s="38" t="s">
        <v>1608</v>
      </c>
      <c r="J138" s="38" t="s">
        <v>1614</v>
      </c>
      <c r="K138" s="40" t="s">
        <v>1610</v>
      </c>
      <c r="L138" s="38"/>
      <c r="M138" s="39" t="b">
        <v>0</v>
      </c>
    </row>
    <row r="139" spans="1:13" ht="27.95" customHeight="1">
      <c r="A139" s="38" t="s">
        <v>827</v>
      </c>
      <c r="B139" s="38" t="s">
        <v>832</v>
      </c>
      <c r="C139" s="38" t="s">
        <v>1621</v>
      </c>
      <c r="D139" s="38" t="s">
        <v>1622</v>
      </c>
      <c r="E139" s="39" t="s">
        <v>293</v>
      </c>
      <c r="F139" s="38" t="s">
        <v>1273</v>
      </c>
      <c r="G139" s="39">
        <v>7</v>
      </c>
      <c r="H139" s="38" t="s">
        <v>1607</v>
      </c>
      <c r="I139" s="38" t="s">
        <v>1608</v>
      </c>
      <c r="J139" s="38" t="s">
        <v>1614</v>
      </c>
      <c r="K139" s="40" t="s">
        <v>1610</v>
      </c>
      <c r="L139" s="38"/>
      <c r="M139" s="39" t="b">
        <v>0</v>
      </c>
    </row>
    <row r="140" spans="1:13" ht="27.95" customHeight="1">
      <c r="A140" s="38" t="s">
        <v>833</v>
      </c>
      <c r="B140" s="38" t="s">
        <v>838</v>
      </c>
      <c r="C140" s="38" t="s">
        <v>1621</v>
      </c>
      <c r="D140" s="38" t="s">
        <v>1623</v>
      </c>
      <c r="E140" s="39" t="s">
        <v>293</v>
      </c>
      <c r="F140" s="38" t="s">
        <v>1273</v>
      </c>
      <c r="G140" s="39">
        <v>7</v>
      </c>
      <c r="H140" s="38" t="s">
        <v>1607</v>
      </c>
      <c r="I140" s="38" t="s">
        <v>1608</v>
      </c>
      <c r="J140" s="38" t="s">
        <v>1614</v>
      </c>
      <c r="K140" s="40" t="s">
        <v>1610</v>
      </c>
      <c r="L140" s="38"/>
      <c r="M140" s="39" t="b">
        <v>0</v>
      </c>
    </row>
    <row r="141" spans="1:13" ht="27.95" customHeight="1">
      <c r="A141" s="38" t="s">
        <v>839</v>
      </c>
      <c r="B141" s="38" t="s">
        <v>843</v>
      </c>
      <c r="C141" s="38" t="s">
        <v>1624</v>
      </c>
      <c r="D141" s="38" t="s">
        <v>1625</v>
      </c>
      <c r="E141" s="39" t="s">
        <v>293</v>
      </c>
      <c r="F141" s="38" t="s">
        <v>1291</v>
      </c>
      <c r="G141" s="39">
        <v>72</v>
      </c>
      <c r="H141" s="38" t="s">
        <v>1626</v>
      </c>
      <c r="I141" s="38" t="s">
        <v>1627</v>
      </c>
      <c r="J141" s="38" t="s">
        <v>1628</v>
      </c>
      <c r="K141" s="40" t="s">
        <v>1629</v>
      </c>
      <c r="L141" s="38"/>
      <c r="M141" s="39" t="b">
        <v>1</v>
      </c>
    </row>
    <row r="142" spans="1:13" ht="27.95" customHeight="1">
      <c r="A142" s="38" t="s">
        <v>844</v>
      </c>
      <c r="B142" s="38" t="s">
        <v>848</v>
      </c>
      <c r="C142" s="38" t="s">
        <v>1630</v>
      </c>
      <c r="D142" s="38" t="s">
        <v>1631</v>
      </c>
      <c r="E142" s="39" t="s">
        <v>293</v>
      </c>
      <c r="F142" s="38" t="s">
        <v>1291</v>
      </c>
      <c r="G142" s="39">
        <v>147</v>
      </c>
      <c r="H142" s="38" t="s">
        <v>1632</v>
      </c>
      <c r="I142" s="38" t="s">
        <v>1633</v>
      </c>
      <c r="J142" s="38" t="s">
        <v>1477</v>
      </c>
      <c r="K142" s="40" t="s">
        <v>1634</v>
      </c>
      <c r="L142" s="38"/>
      <c r="M142" s="39" t="b">
        <v>1</v>
      </c>
    </row>
    <row r="143" spans="1:13" ht="27.95" customHeight="1">
      <c r="A143" s="38" t="s">
        <v>849</v>
      </c>
      <c r="B143" s="38" t="s">
        <v>854</v>
      </c>
      <c r="C143" s="38" t="s">
        <v>1635</v>
      </c>
      <c r="D143" s="38" t="s">
        <v>1636</v>
      </c>
      <c r="E143" s="39" t="s">
        <v>293</v>
      </c>
      <c r="F143" s="38" t="s">
        <v>1291</v>
      </c>
      <c r="G143" s="39">
        <v>24</v>
      </c>
      <c r="H143" s="38" t="s">
        <v>1637</v>
      </c>
      <c r="I143" s="38" t="s">
        <v>1638</v>
      </c>
      <c r="J143" s="38" t="s">
        <v>1396</v>
      </c>
      <c r="K143" s="40" t="s">
        <v>1397</v>
      </c>
      <c r="L143" s="38"/>
      <c r="M143" s="39" t="b">
        <v>1</v>
      </c>
    </row>
    <row r="144" spans="1:13" ht="27.95" customHeight="1">
      <c r="A144" s="38" t="s">
        <v>855</v>
      </c>
      <c r="B144" s="38" t="s">
        <v>859</v>
      </c>
      <c r="C144" s="38" t="s">
        <v>1639</v>
      </c>
      <c r="D144" s="38" t="s">
        <v>1640</v>
      </c>
      <c r="E144" s="39" t="s">
        <v>293</v>
      </c>
      <c r="F144" s="38" t="s">
        <v>1291</v>
      </c>
      <c r="G144" s="39">
        <v>11</v>
      </c>
      <c r="H144" s="38" t="s">
        <v>1641</v>
      </c>
      <c r="I144" s="38" t="s">
        <v>1642</v>
      </c>
      <c r="J144" s="38" t="s">
        <v>1643</v>
      </c>
      <c r="K144" s="40" t="s">
        <v>1403</v>
      </c>
      <c r="L144" s="38"/>
      <c r="M144" s="39" t="b">
        <v>0</v>
      </c>
    </row>
    <row r="145" spans="1:13" ht="27.95" customHeight="1">
      <c r="A145" s="38" t="s">
        <v>860</v>
      </c>
      <c r="B145" s="38" t="s">
        <v>864</v>
      </c>
      <c r="C145" s="38" t="s">
        <v>1644</v>
      </c>
      <c r="D145" s="38" t="s">
        <v>1645</v>
      </c>
      <c r="E145" s="39" t="s">
        <v>293</v>
      </c>
      <c r="F145" s="38" t="s">
        <v>1291</v>
      </c>
      <c r="G145" s="39">
        <v>177</v>
      </c>
      <c r="H145" s="38" t="s">
        <v>1458</v>
      </c>
      <c r="I145" s="38" t="s">
        <v>1646</v>
      </c>
      <c r="J145" s="38" t="s">
        <v>1460</v>
      </c>
      <c r="K145" s="40" t="s">
        <v>1295</v>
      </c>
      <c r="L145" s="38"/>
      <c r="M145" s="39" t="b">
        <v>0</v>
      </c>
    </row>
    <row r="146" spans="1:13" ht="27.95" customHeight="1">
      <c r="A146" s="38" t="s">
        <v>865</v>
      </c>
      <c r="B146" s="38" t="s">
        <v>869</v>
      </c>
      <c r="C146" s="38" t="s">
        <v>1647</v>
      </c>
      <c r="D146" s="38" t="s">
        <v>1648</v>
      </c>
      <c r="E146" s="39" t="s">
        <v>293</v>
      </c>
      <c r="F146" s="38" t="s">
        <v>1291</v>
      </c>
      <c r="G146" s="39">
        <v>50</v>
      </c>
      <c r="H146" s="38" t="s">
        <v>1649</v>
      </c>
      <c r="I146" s="38" t="s">
        <v>1650</v>
      </c>
      <c r="J146" s="38" t="s">
        <v>1460</v>
      </c>
      <c r="K146" s="40" t="s">
        <v>1651</v>
      </c>
      <c r="L146" s="38"/>
      <c r="M146" s="39" t="b">
        <v>0</v>
      </c>
    </row>
    <row r="147" spans="1:13" ht="27.95" customHeight="1">
      <c r="A147" s="38" t="s">
        <v>870</v>
      </c>
      <c r="B147" s="38" t="s">
        <v>874</v>
      </c>
      <c r="C147" s="38" t="s">
        <v>1652</v>
      </c>
      <c r="D147" s="38" t="s">
        <v>1653</v>
      </c>
      <c r="E147" s="39" t="s">
        <v>293</v>
      </c>
      <c r="F147" s="38" t="s">
        <v>1291</v>
      </c>
      <c r="G147" s="39">
        <v>34</v>
      </c>
      <c r="H147" s="38" t="s">
        <v>1469</v>
      </c>
      <c r="I147" s="38" t="s">
        <v>1654</v>
      </c>
      <c r="J147" s="38" t="s">
        <v>1471</v>
      </c>
      <c r="K147" s="40" t="s">
        <v>1415</v>
      </c>
      <c r="L147" s="38"/>
      <c r="M147" s="39" t="b">
        <v>0</v>
      </c>
    </row>
    <row r="148" spans="1:13" ht="27.95" customHeight="1">
      <c r="A148" s="38" t="s">
        <v>875</v>
      </c>
      <c r="B148" s="38" t="s">
        <v>879</v>
      </c>
      <c r="C148" s="38" t="s">
        <v>1655</v>
      </c>
      <c r="D148" s="38" t="s">
        <v>1656</v>
      </c>
      <c r="E148" s="39" t="s">
        <v>293</v>
      </c>
      <c r="F148" s="38" t="s">
        <v>1291</v>
      </c>
      <c r="G148" s="39">
        <v>20</v>
      </c>
      <c r="H148" s="38" t="s">
        <v>1657</v>
      </c>
      <c r="I148" s="38" t="s">
        <v>1658</v>
      </c>
      <c r="J148" s="38" t="s">
        <v>1559</v>
      </c>
      <c r="K148" s="40" t="s">
        <v>1659</v>
      </c>
      <c r="L148" s="38"/>
      <c r="M148" s="39" t="b">
        <v>0</v>
      </c>
    </row>
    <row r="149" spans="1:13" ht="27.95" customHeight="1">
      <c r="A149" s="38" t="s">
        <v>880</v>
      </c>
      <c r="B149" s="38" t="s">
        <v>884</v>
      </c>
      <c r="C149" s="38" t="s">
        <v>1655</v>
      </c>
      <c r="D149" s="38" t="s">
        <v>1660</v>
      </c>
      <c r="E149" s="39" t="s">
        <v>293</v>
      </c>
      <c r="F149" s="38" t="s">
        <v>1291</v>
      </c>
      <c r="G149" s="39">
        <v>20</v>
      </c>
      <c r="H149" s="38" t="s">
        <v>1657</v>
      </c>
      <c r="I149" s="38" t="s">
        <v>1658</v>
      </c>
      <c r="J149" s="38" t="s">
        <v>1559</v>
      </c>
      <c r="K149" s="40" t="s">
        <v>1659</v>
      </c>
      <c r="L149" s="38"/>
      <c r="M149" s="39" t="b">
        <v>0</v>
      </c>
    </row>
    <row r="150" spans="1:13" ht="27.95" customHeight="1">
      <c r="A150" s="38" t="s">
        <v>885</v>
      </c>
      <c r="B150" s="38" t="s">
        <v>889</v>
      </c>
      <c r="C150" s="38" t="s">
        <v>1661</v>
      </c>
      <c r="D150" s="38" t="s">
        <v>1662</v>
      </c>
      <c r="E150" s="39" t="s">
        <v>293</v>
      </c>
      <c r="F150" s="38" t="s">
        <v>1273</v>
      </c>
      <c r="G150" s="39">
        <v>6</v>
      </c>
      <c r="H150" s="38" t="s">
        <v>1663</v>
      </c>
      <c r="I150" s="38" t="s">
        <v>1664</v>
      </c>
      <c r="J150" s="38" t="s">
        <v>1665</v>
      </c>
      <c r="K150" s="40" t="s">
        <v>1666</v>
      </c>
      <c r="L150" s="38"/>
      <c r="M150" s="39" t="b">
        <v>0</v>
      </c>
    </row>
    <row r="151" spans="1:13" ht="27.95" customHeight="1">
      <c r="A151" s="38" t="s">
        <v>890</v>
      </c>
      <c r="B151" s="38" t="s">
        <v>894</v>
      </c>
      <c r="C151" s="38" t="s">
        <v>1661</v>
      </c>
      <c r="D151" s="38" t="s">
        <v>1667</v>
      </c>
      <c r="E151" s="39" t="s">
        <v>293</v>
      </c>
      <c r="F151" s="38" t="s">
        <v>1273</v>
      </c>
      <c r="G151" s="39">
        <v>6</v>
      </c>
      <c r="H151" s="38" t="s">
        <v>1663</v>
      </c>
      <c r="I151" s="38" t="s">
        <v>1664</v>
      </c>
      <c r="J151" s="38" t="s">
        <v>1665</v>
      </c>
      <c r="K151" s="40" t="s">
        <v>1666</v>
      </c>
      <c r="L151" s="38"/>
      <c r="M151" s="39" t="b">
        <v>0</v>
      </c>
    </row>
    <row r="152" spans="1:13" ht="27.95" customHeight="1">
      <c r="A152" s="38" t="s">
        <v>895</v>
      </c>
      <c r="B152" s="38" t="s">
        <v>899</v>
      </c>
      <c r="C152" s="38" t="s">
        <v>1661</v>
      </c>
      <c r="D152" s="38" t="s">
        <v>1668</v>
      </c>
      <c r="E152" s="39" t="s">
        <v>293</v>
      </c>
      <c r="F152" s="38" t="s">
        <v>1273</v>
      </c>
      <c r="G152" s="39">
        <v>6</v>
      </c>
      <c r="H152" s="38" t="s">
        <v>1663</v>
      </c>
      <c r="I152" s="38" t="s">
        <v>1664</v>
      </c>
      <c r="J152" s="38" t="s">
        <v>1665</v>
      </c>
      <c r="K152" s="40" t="s">
        <v>1666</v>
      </c>
      <c r="L152" s="38"/>
      <c r="M152" s="39" t="b">
        <v>0</v>
      </c>
    </row>
    <row r="153" spans="1:13" ht="27.95" customHeight="1">
      <c r="A153" s="38" t="s">
        <v>900</v>
      </c>
      <c r="B153" s="38" t="s">
        <v>904</v>
      </c>
      <c r="C153" s="38" t="s">
        <v>1669</v>
      </c>
      <c r="D153" s="38" t="s">
        <v>1670</v>
      </c>
      <c r="E153" s="39" t="s">
        <v>293</v>
      </c>
      <c r="F153" s="38" t="s">
        <v>1291</v>
      </c>
      <c r="G153" s="39">
        <v>510</v>
      </c>
      <c r="H153" s="38" t="s">
        <v>1671</v>
      </c>
      <c r="I153" s="38" t="s">
        <v>1672</v>
      </c>
      <c r="J153" s="38" t="s">
        <v>1673</v>
      </c>
      <c r="K153" s="40" t="s">
        <v>1674</v>
      </c>
      <c r="L153" s="38"/>
      <c r="M153" s="39" t="b">
        <v>1</v>
      </c>
    </row>
    <row r="154" spans="1:13" ht="27.95" customHeight="1">
      <c r="A154" s="38" t="s">
        <v>905</v>
      </c>
      <c r="B154" s="38" t="s">
        <v>910</v>
      </c>
      <c r="C154" s="38" t="s">
        <v>1675</v>
      </c>
      <c r="D154" s="38" t="s">
        <v>1676</v>
      </c>
      <c r="E154" s="39" t="s">
        <v>293</v>
      </c>
      <c r="F154" s="38" t="s">
        <v>1291</v>
      </c>
      <c r="G154" s="39">
        <v>308</v>
      </c>
      <c r="H154" s="38" t="s">
        <v>1677</v>
      </c>
      <c r="I154" s="38" t="s">
        <v>1678</v>
      </c>
      <c r="J154" s="38" t="s">
        <v>1679</v>
      </c>
      <c r="K154" s="40" t="s">
        <v>1680</v>
      </c>
      <c r="L154" s="38"/>
      <c r="M154" s="39" t="b">
        <v>1</v>
      </c>
    </row>
    <row r="155" spans="1:13" ht="27.95" customHeight="1">
      <c r="A155" s="38" t="s">
        <v>911</v>
      </c>
      <c r="B155" s="38" t="s">
        <v>918</v>
      </c>
      <c r="C155" s="38" t="s">
        <v>1681</v>
      </c>
      <c r="D155" s="38" t="s">
        <v>1682</v>
      </c>
      <c r="E155" s="39" t="s">
        <v>913</v>
      </c>
      <c r="F155" s="38" t="s">
        <v>1273</v>
      </c>
      <c r="G155" s="39">
        <v>44</v>
      </c>
      <c r="H155" s="38" t="s">
        <v>1280</v>
      </c>
      <c r="I155" s="38" t="s">
        <v>1683</v>
      </c>
      <c r="J155" s="38" t="s">
        <v>1282</v>
      </c>
      <c r="K155" s="40" t="s">
        <v>1515</v>
      </c>
      <c r="L155" s="38" t="s">
        <v>1684</v>
      </c>
      <c r="M155" s="39" t="b">
        <v>1</v>
      </c>
    </row>
    <row r="156" spans="1:13" ht="27.95" customHeight="1">
      <c r="A156" s="38" t="s">
        <v>919</v>
      </c>
      <c r="B156" s="38" t="s">
        <v>924</v>
      </c>
      <c r="C156" s="38" t="s">
        <v>1302</v>
      </c>
      <c r="D156" s="38" t="s">
        <v>1685</v>
      </c>
      <c r="E156" s="39" t="s">
        <v>913</v>
      </c>
      <c r="F156" s="38" t="s">
        <v>1273</v>
      </c>
      <c r="G156" s="39">
        <v>24</v>
      </c>
      <c r="H156" s="38" t="s">
        <v>1304</v>
      </c>
      <c r="I156" s="38" t="s">
        <v>1305</v>
      </c>
      <c r="J156" s="38" t="s">
        <v>1306</v>
      </c>
      <c r="K156" s="40" t="s">
        <v>1307</v>
      </c>
      <c r="L156" s="38" t="s">
        <v>1686</v>
      </c>
      <c r="M156" s="39" t="b">
        <v>0</v>
      </c>
    </row>
    <row r="157" spans="1:13" ht="27.95" customHeight="1">
      <c r="A157" s="38" t="s">
        <v>925</v>
      </c>
      <c r="B157" s="38" t="s">
        <v>930</v>
      </c>
      <c r="C157" s="38" t="s">
        <v>1302</v>
      </c>
      <c r="D157" s="38" t="s">
        <v>1687</v>
      </c>
      <c r="E157" s="39" t="s">
        <v>913</v>
      </c>
      <c r="F157" s="38" t="s">
        <v>1273</v>
      </c>
      <c r="G157" s="39">
        <v>24</v>
      </c>
      <c r="H157" s="38" t="s">
        <v>1304</v>
      </c>
      <c r="I157" s="38" t="s">
        <v>1305</v>
      </c>
      <c r="J157" s="38" t="s">
        <v>1306</v>
      </c>
      <c r="K157" s="40" t="s">
        <v>1307</v>
      </c>
      <c r="L157" s="38" t="s">
        <v>1686</v>
      </c>
      <c r="M157" s="39" t="b">
        <v>0</v>
      </c>
    </row>
    <row r="158" spans="1:13" ht="27.95" customHeight="1">
      <c r="A158" s="38" t="s">
        <v>931</v>
      </c>
      <c r="B158" s="38" t="s">
        <v>936</v>
      </c>
      <c r="C158" s="38" t="s">
        <v>1308</v>
      </c>
      <c r="D158" s="38" t="s">
        <v>1688</v>
      </c>
      <c r="E158" s="39" t="s">
        <v>913</v>
      </c>
      <c r="F158" s="38" t="s">
        <v>1273</v>
      </c>
      <c r="G158" s="39">
        <v>71</v>
      </c>
      <c r="H158" s="38" t="s">
        <v>1310</v>
      </c>
      <c r="I158" s="38" t="s">
        <v>1311</v>
      </c>
      <c r="J158" s="38" t="s">
        <v>1312</v>
      </c>
      <c r="K158" s="40" t="s">
        <v>1313</v>
      </c>
      <c r="L158" s="38" t="s">
        <v>1684</v>
      </c>
      <c r="M158" s="39" t="b">
        <v>1</v>
      </c>
    </row>
    <row r="159" spans="1:13" ht="27.95" customHeight="1">
      <c r="A159" s="38" t="s">
        <v>937</v>
      </c>
      <c r="B159" s="38" t="s">
        <v>942</v>
      </c>
      <c r="C159" s="38" t="s">
        <v>1314</v>
      </c>
      <c r="D159" s="38" t="s">
        <v>1689</v>
      </c>
      <c r="E159" s="39" t="s">
        <v>913</v>
      </c>
      <c r="F159" s="38" t="s">
        <v>1273</v>
      </c>
      <c r="G159" s="39">
        <v>71</v>
      </c>
      <c r="H159" s="38" t="s">
        <v>1310</v>
      </c>
      <c r="I159" s="38" t="s">
        <v>1311</v>
      </c>
      <c r="J159" s="38" t="s">
        <v>1312</v>
      </c>
      <c r="K159" s="40" t="s">
        <v>1283</v>
      </c>
      <c r="L159" s="38" t="s">
        <v>1684</v>
      </c>
      <c r="M159" s="39" t="b">
        <v>1</v>
      </c>
    </row>
    <row r="160" spans="1:13" ht="27.95" customHeight="1">
      <c r="A160" s="38" t="s">
        <v>943</v>
      </c>
      <c r="B160" s="38" t="s">
        <v>948</v>
      </c>
      <c r="C160" s="38" t="s">
        <v>1314</v>
      </c>
      <c r="D160" s="38" t="s">
        <v>1690</v>
      </c>
      <c r="E160" s="39" t="s">
        <v>913</v>
      </c>
      <c r="F160" s="38" t="s">
        <v>1273</v>
      </c>
      <c r="G160" s="39">
        <v>71</v>
      </c>
      <c r="H160" s="38" t="s">
        <v>1310</v>
      </c>
      <c r="I160" s="38" t="s">
        <v>1311</v>
      </c>
      <c r="J160" s="38" t="s">
        <v>1312</v>
      </c>
      <c r="K160" s="40" t="s">
        <v>1283</v>
      </c>
      <c r="L160" s="38" t="s">
        <v>1684</v>
      </c>
      <c r="M160" s="39" t="b">
        <v>1</v>
      </c>
    </row>
    <row r="161" spans="1:13" ht="27.95" customHeight="1">
      <c r="A161" s="38" t="s">
        <v>949</v>
      </c>
      <c r="B161" s="38" t="s">
        <v>954</v>
      </c>
      <c r="C161" s="38" t="s">
        <v>1691</v>
      </c>
      <c r="D161" s="38" t="s">
        <v>1692</v>
      </c>
      <c r="E161" s="39" t="s">
        <v>913</v>
      </c>
      <c r="F161" s="38" t="s">
        <v>1273</v>
      </c>
      <c r="G161" s="39">
        <v>71</v>
      </c>
      <c r="H161" s="38" t="s">
        <v>1310</v>
      </c>
      <c r="I161" s="38" t="s">
        <v>1311</v>
      </c>
      <c r="J161" s="38" t="s">
        <v>1312</v>
      </c>
      <c r="K161" s="40" t="s">
        <v>1496</v>
      </c>
      <c r="L161" s="38" t="s">
        <v>1684</v>
      </c>
      <c r="M161" s="39" t="b">
        <v>1</v>
      </c>
    </row>
    <row r="162" spans="1:13" ht="27.95" customHeight="1">
      <c r="A162" s="38" t="s">
        <v>955</v>
      </c>
      <c r="B162" s="38" t="s">
        <v>960</v>
      </c>
      <c r="C162" s="38" t="s">
        <v>1329</v>
      </c>
      <c r="D162" s="38" t="s">
        <v>1693</v>
      </c>
      <c r="E162" s="39" t="s">
        <v>913</v>
      </c>
      <c r="F162" s="38" t="s">
        <v>1273</v>
      </c>
      <c r="G162" s="39">
        <v>15</v>
      </c>
      <c r="H162" s="38" t="s">
        <v>1331</v>
      </c>
      <c r="I162" s="38" t="s">
        <v>1332</v>
      </c>
      <c r="J162" s="38" t="s">
        <v>1333</v>
      </c>
      <c r="K162" s="40" t="s">
        <v>1334</v>
      </c>
      <c r="L162" s="38" t="s">
        <v>1684</v>
      </c>
      <c r="M162" s="39" t="b">
        <v>1</v>
      </c>
    </row>
    <row r="163" spans="1:13" ht="27.95" customHeight="1">
      <c r="A163" s="38" t="s">
        <v>961</v>
      </c>
      <c r="B163" s="38" t="s">
        <v>966</v>
      </c>
      <c r="C163" s="38" t="s">
        <v>1329</v>
      </c>
      <c r="D163" s="38" t="s">
        <v>1694</v>
      </c>
      <c r="E163" s="39" t="s">
        <v>913</v>
      </c>
      <c r="F163" s="38" t="s">
        <v>1273</v>
      </c>
      <c r="G163" s="39">
        <v>15</v>
      </c>
      <c r="H163" s="38" t="s">
        <v>1331</v>
      </c>
      <c r="I163" s="38" t="s">
        <v>1332</v>
      </c>
      <c r="J163" s="38" t="s">
        <v>1333</v>
      </c>
      <c r="K163" s="40" t="s">
        <v>1334</v>
      </c>
      <c r="L163" s="38" t="s">
        <v>1684</v>
      </c>
      <c r="M163" s="39" t="b">
        <v>1</v>
      </c>
    </row>
    <row r="164" spans="1:13" ht="27.95" customHeight="1">
      <c r="A164" s="38" t="s">
        <v>967</v>
      </c>
      <c r="B164" s="38" t="s">
        <v>972</v>
      </c>
      <c r="C164" s="38" t="s">
        <v>1329</v>
      </c>
      <c r="D164" s="38" t="s">
        <v>1695</v>
      </c>
      <c r="E164" s="39" t="s">
        <v>913</v>
      </c>
      <c r="F164" s="38" t="s">
        <v>1273</v>
      </c>
      <c r="G164" s="39">
        <v>15</v>
      </c>
      <c r="H164" s="38" t="s">
        <v>1331</v>
      </c>
      <c r="I164" s="38" t="s">
        <v>1332</v>
      </c>
      <c r="J164" s="38" t="s">
        <v>1333</v>
      </c>
      <c r="K164" s="40" t="s">
        <v>1334</v>
      </c>
      <c r="L164" s="38" t="s">
        <v>1684</v>
      </c>
      <c r="M164" s="39" t="b">
        <v>1</v>
      </c>
    </row>
    <row r="165" spans="1:13" ht="27.95" customHeight="1">
      <c r="A165" s="38" t="s">
        <v>973</v>
      </c>
      <c r="B165" s="38" t="s">
        <v>978</v>
      </c>
      <c r="C165" s="38" t="s">
        <v>1335</v>
      </c>
      <c r="D165" s="38" t="s">
        <v>1696</v>
      </c>
      <c r="E165" s="39" t="s">
        <v>913</v>
      </c>
      <c r="F165" s="38" t="s">
        <v>1266</v>
      </c>
      <c r="G165" s="39">
        <v>368</v>
      </c>
      <c r="H165" s="38" t="s">
        <v>1337</v>
      </c>
      <c r="I165" s="38" t="s">
        <v>1338</v>
      </c>
      <c r="J165" s="38" t="s">
        <v>1312</v>
      </c>
      <c r="K165" s="40" t="s">
        <v>1339</v>
      </c>
      <c r="L165" s="38" t="s">
        <v>1684</v>
      </c>
      <c r="M165" s="39" t="b">
        <v>1</v>
      </c>
    </row>
    <row r="166" spans="1:13" ht="27.95" customHeight="1">
      <c r="A166" s="38" t="s">
        <v>979</v>
      </c>
      <c r="B166" s="38" t="s">
        <v>984</v>
      </c>
      <c r="C166" s="38" t="s">
        <v>1697</v>
      </c>
      <c r="D166" s="38" t="s">
        <v>1698</v>
      </c>
      <c r="E166" s="39" t="s">
        <v>913</v>
      </c>
      <c r="F166" s="38" t="s">
        <v>1266</v>
      </c>
      <c r="G166" s="39">
        <v>154</v>
      </c>
      <c r="H166" s="38" t="s">
        <v>1699</v>
      </c>
      <c r="I166" s="38" t="s">
        <v>1700</v>
      </c>
      <c r="J166" s="38" t="s">
        <v>1701</v>
      </c>
      <c r="K166" s="40" t="s">
        <v>1702</v>
      </c>
      <c r="L166" s="38" t="s">
        <v>1684</v>
      </c>
      <c r="M166" s="39" t="b">
        <v>1</v>
      </c>
    </row>
    <row r="167" spans="1:13" ht="27.95" customHeight="1">
      <c r="A167" s="38" t="s">
        <v>985</v>
      </c>
      <c r="B167" s="38" t="s">
        <v>990</v>
      </c>
      <c r="C167" s="38" t="s">
        <v>1703</v>
      </c>
      <c r="D167" s="38" t="s">
        <v>1704</v>
      </c>
      <c r="E167" s="39" t="s">
        <v>913</v>
      </c>
      <c r="F167" s="38" t="s">
        <v>1273</v>
      </c>
      <c r="G167" s="39">
        <v>71</v>
      </c>
      <c r="H167" s="38" t="s">
        <v>1310</v>
      </c>
      <c r="I167" s="38" t="s">
        <v>1311</v>
      </c>
      <c r="J167" s="38" t="s">
        <v>1312</v>
      </c>
      <c r="K167" s="40" t="s">
        <v>1515</v>
      </c>
      <c r="L167" s="38" t="s">
        <v>1684</v>
      </c>
      <c r="M167" s="39" t="b">
        <v>1</v>
      </c>
    </row>
    <row r="168" spans="1:13" ht="27.95" customHeight="1">
      <c r="A168" s="38" t="s">
        <v>991</v>
      </c>
      <c r="B168" s="38" t="s">
        <v>996</v>
      </c>
      <c r="C168" s="38" t="s">
        <v>1340</v>
      </c>
      <c r="D168" s="38" t="s">
        <v>1705</v>
      </c>
      <c r="E168" s="39" t="s">
        <v>913</v>
      </c>
      <c r="F168" s="38" t="s">
        <v>1273</v>
      </c>
      <c r="G168" s="39">
        <v>0</v>
      </c>
      <c r="H168" s="38" t="s">
        <v>1310</v>
      </c>
      <c r="I168" s="38" t="s">
        <v>1311</v>
      </c>
      <c r="J168" s="38" t="s">
        <v>1312</v>
      </c>
      <c r="K168" s="40" t="s">
        <v>1342</v>
      </c>
      <c r="L168" s="38" t="s">
        <v>1684</v>
      </c>
      <c r="M168" s="39" t="b">
        <v>1</v>
      </c>
    </row>
    <row r="169" spans="1:13" ht="27.95" customHeight="1">
      <c r="A169" s="38" t="s">
        <v>997</v>
      </c>
      <c r="B169" s="38" t="s">
        <v>1002</v>
      </c>
      <c r="C169" s="38" t="s">
        <v>1706</v>
      </c>
      <c r="D169" s="38" t="s">
        <v>1707</v>
      </c>
      <c r="E169" s="39" t="s">
        <v>913</v>
      </c>
      <c r="F169" s="38" t="s">
        <v>1273</v>
      </c>
      <c r="G169" s="39">
        <v>71</v>
      </c>
      <c r="H169" s="38" t="s">
        <v>1310</v>
      </c>
      <c r="I169" s="38" t="s">
        <v>1311</v>
      </c>
      <c r="J169" s="38" t="s">
        <v>1312</v>
      </c>
      <c r="K169" s="40" t="s">
        <v>1550</v>
      </c>
      <c r="L169" s="38" t="s">
        <v>1684</v>
      </c>
      <c r="M169" s="39" t="b">
        <v>1</v>
      </c>
    </row>
    <row r="170" spans="1:13" ht="27.95" customHeight="1">
      <c r="A170" s="38" t="s">
        <v>1003</v>
      </c>
      <c r="B170" s="38" t="s">
        <v>1008</v>
      </c>
      <c r="C170" s="38" t="s">
        <v>1706</v>
      </c>
      <c r="D170" s="38" t="s">
        <v>1708</v>
      </c>
      <c r="E170" s="39" t="s">
        <v>913</v>
      </c>
      <c r="F170" s="38" t="s">
        <v>1273</v>
      </c>
      <c r="G170" s="39">
        <v>0</v>
      </c>
      <c r="H170" s="38" t="s">
        <v>1310</v>
      </c>
      <c r="I170" s="38" t="s">
        <v>1311</v>
      </c>
      <c r="J170" s="38" t="s">
        <v>1312</v>
      </c>
      <c r="K170" s="40" t="s">
        <v>1550</v>
      </c>
      <c r="L170" s="38" t="s">
        <v>1684</v>
      </c>
      <c r="M170" s="39" t="b">
        <v>1</v>
      </c>
    </row>
    <row r="171" spans="1:13" ht="27.95" customHeight="1">
      <c r="A171" s="38" t="s">
        <v>1009</v>
      </c>
      <c r="B171" s="38" t="s">
        <v>1013</v>
      </c>
      <c r="C171" s="38" t="s">
        <v>1376</v>
      </c>
      <c r="D171" s="38" t="s">
        <v>1709</v>
      </c>
      <c r="E171" s="39" t="s">
        <v>913</v>
      </c>
      <c r="F171" s="38" t="s">
        <v>1273</v>
      </c>
      <c r="G171" s="39">
        <v>2</v>
      </c>
      <c r="H171" s="38" t="s">
        <v>1378</v>
      </c>
      <c r="I171" s="38" t="s">
        <v>1379</v>
      </c>
      <c r="J171" s="38" t="s">
        <v>1380</v>
      </c>
      <c r="K171" s="40" t="s">
        <v>1381</v>
      </c>
      <c r="L171" s="38" t="s">
        <v>1684</v>
      </c>
      <c r="M171" s="39" t="b">
        <v>1</v>
      </c>
    </row>
    <row r="172" spans="1:13" ht="27.95" customHeight="1">
      <c r="A172" s="38" t="s">
        <v>1014</v>
      </c>
      <c r="B172" s="38" t="s">
        <v>1019</v>
      </c>
      <c r="C172" s="38" t="s">
        <v>1710</v>
      </c>
      <c r="D172" s="38" t="s">
        <v>1711</v>
      </c>
      <c r="E172" s="39" t="s">
        <v>913</v>
      </c>
      <c r="F172" s="38" t="s">
        <v>1273</v>
      </c>
      <c r="G172" s="39">
        <v>26</v>
      </c>
      <c r="H172" s="38" t="s">
        <v>1712</v>
      </c>
      <c r="I172" s="38" t="s">
        <v>1713</v>
      </c>
      <c r="J172" s="38" t="s">
        <v>1714</v>
      </c>
      <c r="K172" s="40" t="s">
        <v>1715</v>
      </c>
      <c r="L172" s="38" t="s">
        <v>1686</v>
      </c>
      <c r="M172" s="39" t="b">
        <v>0</v>
      </c>
    </row>
    <row r="173" spans="1:13" ht="27.95" customHeight="1">
      <c r="A173" s="38" t="s">
        <v>1020</v>
      </c>
      <c r="B173" s="38" t="s">
        <v>1025</v>
      </c>
      <c r="C173" s="38" t="s">
        <v>1716</v>
      </c>
      <c r="D173" s="38" t="s">
        <v>1717</v>
      </c>
      <c r="E173" s="39" t="s">
        <v>913</v>
      </c>
      <c r="F173" s="38" t="s">
        <v>1291</v>
      </c>
      <c r="G173" s="39">
        <v>47</v>
      </c>
      <c r="H173" s="38" t="s">
        <v>1718</v>
      </c>
      <c r="I173" s="38" t="s">
        <v>1719</v>
      </c>
      <c r="J173" s="38" t="s">
        <v>1720</v>
      </c>
      <c r="K173" s="40" t="s">
        <v>1334</v>
      </c>
      <c r="L173" s="38" t="s">
        <v>1684</v>
      </c>
      <c r="M173" s="39" t="b">
        <v>1</v>
      </c>
    </row>
    <row r="174" spans="1:13" ht="27.95" customHeight="1">
      <c r="A174" s="38" t="s">
        <v>1026</v>
      </c>
      <c r="B174" s="38" t="s">
        <v>1031</v>
      </c>
      <c r="C174" s="38" t="s">
        <v>1721</v>
      </c>
      <c r="D174" s="38" t="s">
        <v>1722</v>
      </c>
      <c r="E174" s="39" t="s">
        <v>913</v>
      </c>
      <c r="F174" s="38" t="s">
        <v>1291</v>
      </c>
      <c r="G174" s="39">
        <v>154</v>
      </c>
      <c r="H174" s="38" t="s">
        <v>1723</v>
      </c>
      <c r="I174" s="38" t="s">
        <v>1724</v>
      </c>
      <c r="J174" s="38" t="s">
        <v>1725</v>
      </c>
      <c r="K174" s="40" t="s">
        <v>1702</v>
      </c>
      <c r="L174" s="38" t="s">
        <v>1684</v>
      </c>
      <c r="M174" s="39" t="b">
        <v>1</v>
      </c>
    </row>
    <row r="175" spans="1:13" ht="27.95" customHeight="1">
      <c r="A175" s="38" t="s">
        <v>1032</v>
      </c>
      <c r="B175" s="38" t="s">
        <v>1036</v>
      </c>
      <c r="C175" s="38" t="s">
        <v>1508</v>
      </c>
      <c r="D175" s="38" t="s">
        <v>1726</v>
      </c>
      <c r="E175" s="39" t="s">
        <v>913</v>
      </c>
      <c r="F175" s="38" t="s">
        <v>1291</v>
      </c>
      <c r="G175" s="39">
        <v>132</v>
      </c>
      <c r="H175" s="38" t="s">
        <v>1510</v>
      </c>
      <c r="I175" s="38" t="s">
        <v>1511</v>
      </c>
      <c r="J175" s="38" t="s">
        <v>1477</v>
      </c>
      <c r="K175" s="40" t="s">
        <v>1512</v>
      </c>
      <c r="L175" s="38" t="s">
        <v>1684</v>
      </c>
      <c r="M175" s="39" t="b">
        <v>1</v>
      </c>
    </row>
    <row r="176" spans="1:13" ht="27.95" customHeight="1">
      <c r="A176" s="38" t="s">
        <v>1037</v>
      </c>
      <c r="B176" s="38" t="s">
        <v>1042</v>
      </c>
      <c r="C176" s="38" t="s">
        <v>1727</v>
      </c>
      <c r="D176" s="38" t="s">
        <v>1728</v>
      </c>
      <c r="E176" s="39" t="s">
        <v>913</v>
      </c>
      <c r="F176" s="38" t="s">
        <v>1291</v>
      </c>
      <c r="G176" s="39">
        <v>353</v>
      </c>
      <c r="H176" s="38" t="s">
        <v>1729</v>
      </c>
      <c r="I176" s="38" t="s">
        <v>1730</v>
      </c>
      <c r="J176" s="38" t="s">
        <v>1731</v>
      </c>
      <c r="K176" s="40" t="s">
        <v>1732</v>
      </c>
      <c r="L176" s="38" t="s">
        <v>1684</v>
      </c>
      <c r="M176" s="39" t="b">
        <v>1</v>
      </c>
    </row>
    <row r="177" spans="1:13" ht="27.95" customHeight="1">
      <c r="A177" s="38" t="s">
        <v>1043</v>
      </c>
      <c r="B177" s="38" t="s">
        <v>1048</v>
      </c>
      <c r="C177" s="38" t="s">
        <v>1630</v>
      </c>
      <c r="D177" s="38" t="s">
        <v>1733</v>
      </c>
      <c r="E177" s="39" t="s">
        <v>913</v>
      </c>
      <c r="F177" s="38" t="s">
        <v>1291</v>
      </c>
      <c r="G177" s="39">
        <v>147</v>
      </c>
      <c r="H177" s="38" t="s">
        <v>1632</v>
      </c>
      <c r="I177" s="38" t="s">
        <v>1633</v>
      </c>
      <c r="J177" s="38" t="s">
        <v>1477</v>
      </c>
      <c r="K177" s="40" t="s">
        <v>1634</v>
      </c>
      <c r="L177" s="38" t="s">
        <v>1684</v>
      </c>
      <c r="M177" s="39" t="b">
        <v>1</v>
      </c>
    </row>
    <row r="178" spans="1:13" ht="27.95" customHeight="1">
      <c r="A178" s="38" t="s">
        <v>1049</v>
      </c>
      <c r="B178" s="38" t="s">
        <v>1054</v>
      </c>
      <c r="C178" s="38" t="s">
        <v>1734</v>
      </c>
      <c r="D178" s="38" t="s">
        <v>1735</v>
      </c>
      <c r="E178" s="39" t="s">
        <v>913</v>
      </c>
      <c r="F178" s="38" t="s">
        <v>1273</v>
      </c>
      <c r="G178" s="39">
        <v>6</v>
      </c>
      <c r="H178" s="38" t="s">
        <v>1736</v>
      </c>
      <c r="I178" s="38" t="s">
        <v>1737</v>
      </c>
      <c r="J178" s="38" t="s">
        <v>1738</v>
      </c>
      <c r="K178" s="40" t="s">
        <v>1715</v>
      </c>
      <c r="L178" s="38" t="s">
        <v>1686</v>
      </c>
      <c r="M178" s="39" t="b">
        <v>0</v>
      </c>
    </row>
    <row r="179" spans="1:13" ht="27.95" customHeight="1">
      <c r="A179" s="38" t="s">
        <v>1055</v>
      </c>
      <c r="B179" s="38" t="s">
        <v>1059</v>
      </c>
      <c r="C179" s="38" t="s">
        <v>1739</v>
      </c>
      <c r="D179" s="38" t="s">
        <v>1740</v>
      </c>
      <c r="E179" s="39" t="s">
        <v>913</v>
      </c>
      <c r="F179" s="38" t="s">
        <v>1291</v>
      </c>
      <c r="G179" s="39">
        <v>424</v>
      </c>
      <c r="H179" s="38" t="s">
        <v>1741</v>
      </c>
      <c r="I179" s="38" t="s">
        <v>1742</v>
      </c>
      <c r="J179" s="38" t="s">
        <v>1199</v>
      </c>
      <c r="K179" s="40" t="s">
        <v>1743</v>
      </c>
      <c r="L179" s="38" t="s">
        <v>1684</v>
      </c>
      <c r="M179" s="39" t="b">
        <v>1</v>
      </c>
    </row>
    <row r="180" spans="1:13" ht="27.95" customHeight="1">
      <c r="A180" s="38" t="s">
        <v>1060</v>
      </c>
      <c r="B180" s="38" t="s">
        <v>1065</v>
      </c>
      <c r="C180" s="38" t="s">
        <v>1744</v>
      </c>
      <c r="D180" s="38" t="s">
        <v>1745</v>
      </c>
      <c r="E180" s="39" t="s">
        <v>913</v>
      </c>
      <c r="F180" s="38" t="s">
        <v>1291</v>
      </c>
      <c r="G180" s="39">
        <v>353</v>
      </c>
      <c r="H180" s="38" t="s">
        <v>1746</v>
      </c>
      <c r="I180" s="38" t="s">
        <v>1747</v>
      </c>
      <c r="J180" s="38" t="s">
        <v>1199</v>
      </c>
      <c r="K180" s="40" t="s">
        <v>1313</v>
      </c>
      <c r="L180" s="38" t="s">
        <v>1684</v>
      </c>
      <c r="M180" s="39" t="b">
        <v>1</v>
      </c>
    </row>
    <row r="181" spans="1:13" ht="27.95" customHeight="1">
      <c r="A181" s="38" t="s">
        <v>1066</v>
      </c>
      <c r="B181" s="38" t="s">
        <v>1070</v>
      </c>
      <c r="C181" s="38" t="s">
        <v>1748</v>
      </c>
      <c r="D181" s="38" t="s">
        <v>1749</v>
      </c>
      <c r="E181" s="39" t="s">
        <v>913</v>
      </c>
      <c r="F181" s="38" t="s">
        <v>1291</v>
      </c>
      <c r="G181" s="39">
        <v>424</v>
      </c>
      <c r="H181" s="38" t="s">
        <v>1741</v>
      </c>
      <c r="I181" s="38" t="s">
        <v>1742</v>
      </c>
      <c r="J181" s="38" t="s">
        <v>1199</v>
      </c>
      <c r="K181" s="40" t="s">
        <v>1750</v>
      </c>
      <c r="L181" s="38" t="s">
        <v>1684</v>
      </c>
      <c r="M181" s="39" t="b">
        <v>1</v>
      </c>
    </row>
    <row r="182" spans="1:13" ht="27.95" customHeight="1">
      <c r="A182" s="38" t="s">
        <v>1071</v>
      </c>
      <c r="B182" s="38" t="s">
        <v>1076</v>
      </c>
      <c r="C182" s="38" t="s">
        <v>1751</v>
      </c>
      <c r="D182" s="38" t="s">
        <v>1752</v>
      </c>
      <c r="E182" s="39" t="s">
        <v>913</v>
      </c>
      <c r="F182" s="38" t="s">
        <v>1291</v>
      </c>
      <c r="G182" s="39">
        <v>424</v>
      </c>
      <c r="H182" s="38" t="s">
        <v>1741</v>
      </c>
      <c r="I182" s="38" t="s">
        <v>1742</v>
      </c>
      <c r="J182" s="38" t="s">
        <v>1199</v>
      </c>
      <c r="K182" s="40" t="s">
        <v>1753</v>
      </c>
      <c r="L182" s="38" t="s">
        <v>1684</v>
      </c>
      <c r="M182" s="39" t="b">
        <v>1</v>
      </c>
    </row>
    <row r="183" spans="1:13" ht="27.95" customHeight="1">
      <c r="A183" s="38" t="s">
        <v>1077</v>
      </c>
      <c r="B183" s="38" t="s">
        <v>1082</v>
      </c>
      <c r="C183" s="38" t="s">
        <v>1754</v>
      </c>
      <c r="D183" s="38" t="s">
        <v>1755</v>
      </c>
      <c r="E183" s="39" t="s">
        <v>913</v>
      </c>
      <c r="F183" s="38" t="s">
        <v>1291</v>
      </c>
      <c r="G183" s="39">
        <v>1852</v>
      </c>
      <c r="H183" s="38" t="s">
        <v>1756</v>
      </c>
      <c r="I183" s="38" t="s">
        <v>1757</v>
      </c>
      <c r="J183" s="38" t="s">
        <v>1199</v>
      </c>
      <c r="K183" s="40" t="s">
        <v>1758</v>
      </c>
      <c r="L183" s="38" t="s">
        <v>1684</v>
      </c>
      <c r="M183" s="39" t="b">
        <v>1</v>
      </c>
    </row>
    <row r="184" spans="1:13" ht="27.95" customHeight="1">
      <c r="A184" s="38" t="s">
        <v>1083</v>
      </c>
      <c r="B184" s="38" t="s">
        <v>1087</v>
      </c>
      <c r="C184" s="38" t="s">
        <v>1754</v>
      </c>
      <c r="D184" s="38" t="s">
        <v>1759</v>
      </c>
      <c r="E184" s="39" t="s">
        <v>913</v>
      </c>
      <c r="F184" s="38" t="s">
        <v>1291</v>
      </c>
      <c r="G184" s="39">
        <v>1852</v>
      </c>
      <c r="H184" s="38" t="s">
        <v>1756</v>
      </c>
      <c r="I184" s="38" t="s">
        <v>1757</v>
      </c>
      <c r="J184" s="38" t="s">
        <v>1199</v>
      </c>
      <c r="K184" s="40" t="s">
        <v>1758</v>
      </c>
      <c r="L184" s="38" t="s">
        <v>1684</v>
      </c>
      <c r="M184" s="39" t="b">
        <v>1</v>
      </c>
    </row>
    <row r="185" spans="1:13" ht="27.95" customHeight="1">
      <c r="A185" s="38" t="s">
        <v>1088</v>
      </c>
      <c r="B185" s="38" t="s">
        <v>1092</v>
      </c>
      <c r="C185" s="38" t="s">
        <v>1754</v>
      </c>
      <c r="D185" s="38" t="s">
        <v>1760</v>
      </c>
      <c r="E185" s="39" t="s">
        <v>913</v>
      </c>
      <c r="F185" s="38" t="s">
        <v>1291</v>
      </c>
      <c r="G185" s="39">
        <v>1852</v>
      </c>
      <c r="H185" s="38" t="s">
        <v>1756</v>
      </c>
      <c r="I185" s="38" t="s">
        <v>1757</v>
      </c>
      <c r="J185" s="38" t="s">
        <v>1199</v>
      </c>
      <c r="K185" s="40" t="s">
        <v>1758</v>
      </c>
      <c r="L185" s="38" t="s">
        <v>1684</v>
      </c>
      <c r="M185" s="39" t="b">
        <v>1</v>
      </c>
    </row>
    <row r="186" spans="1:13" ht="27.95" customHeight="1">
      <c r="A186" s="38" t="s">
        <v>1093</v>
      </c>
      <c r="B186" s="38" t="s">
        <v>1098</v>
      </c>
      <c r="C186" s="38" t="s">
        <v>1754</v>
      </c>
      <c r="D186" s="38" t="s">
        <v>1761</v>
      </c>
      <c r="E186" s="39" t="s">
        <v>913</v>
      </c>
      <c r="F186" s="38" t="s">
        <v>1291</v>
      </c>
      <c r="G186" s="39">
        <v>1852</v>
      </c>
      <c r="H186" s="38" t="s">
        <v>1756</v>
      </c>
      <c r="I186" s="38" t="s">
        <v>1757</v>
      </c>
      <c r="J186" s="38" t="s">
        <v>1199</v>
      </c>
      <c r="K186" s="40" t="s">
        <v>1758</v>
      </c>
      <c r="L186" s="38" t="s">
        <v>1684</v>
      </c>
      <c r="M186" s="39" t="b">
        <v>1</v>
      </c>
    </row>
    <row r="187" spans="1:13" ht="27.95" customHeight="1">
      <c r="A187" s="38" t="s">
        <v>1099</v>
      </c>
      <c r="B187" s="38" t="s">
        <v>1104</v>
      </c>
      <c r="C187" s="38" t="s">
        <v>1754</v>
      </c>
      <c r="D187" s="38" t="s">
        <v>1762</v>
      </c>
      <c r="E187" s="39" t="s">
        <v>913</v>
      </c>
      <c r="F187" s="38" t="s">
        <v>1291</v>
      </c>
      <c r="G187" s="39">
        <v>1852</v>
      </c>
      <c r="H187" s="38" t="s">
        <v>1756</v>
      </c>
      <c r="I187" s="38" t="s">
        <v>1757</v>
      </c>
      <c r="J187" s="38" t="s">
        <v>1199</v>
      </c>
      <c r="K187" s="40" t="s">
        <v>1758</v>
      </c>
      <c r="L187" s="38" t="s">
        <v>1684</v>
      </c>
      <c r="M187" s="39" t="b">
        <v>1</v>
      </c>
    </row>
    <row r="188" spans="1:13" ht="27.95" customHeight="1">
      <c r="A188" s="38" t="s">
        <v>1105</v>
      </c>
      <c r="B188" s="38" t="s">
        <v>1110</v>
      </c>
      <c r="C188" s="38" t="s">
        <v>1754</v>
      </c>
      <c r="D188" s="38" t="s">
        <v>1763</v>
      </c>
      <c r="E188" s="39" t="s">
        <v>913</v>
      </c>
      <c r="F188" s="38" t="s">
        <v>1291</v>
      </c>
      <c r="G188" s="39">
        <v>1852</v>
      </c>
      <c r="H188" s="38" t="s">
        <v>1756</v>
      </c>
      <c r="I188" s="38" t="s">
        <v>1757</v>
      </c>
      <c r="J188" s="38" t="s">
        <v>1199</v>
      </c>
      <c r="K188" s="40" t="s">
        <v>1758</v>
      </c>
      <c r="L188" s="38" t="s">
        <v>1684</v>
      </c>
      <c r="M188" s="39" t="b">
        <v>1</v>
      </c>
    </row>
    <row r="189" spans="1:13" ht="27.95" customHeight="1">
      <c r="A189" s="38" t="s">
        <v>1111</v>
      </c>
      <c r="B189" s="38" t="s">
        <v>1116</v>
      </c>
      <c r="C189" s="38" t="s">
        <v>1754</v>
      </c>
      <c r="D189" s="38" t="s">
        <v>1764</v>
      </c>
      <c r="E189" s="39" t="s">
        <v>913</v>
      </c>
      <c r="F189" s="38" t="s">
        <v>1291</v>
      </c>
      <c r="G189" s="39">
        <v>1852</v>
      </c>
      <c r="H189" s="38" t="s">
        <v>1756</v>
      </c>
      <c r="I189" s="38" t="s">
        <v>1757</v>
      </c>
      <c r="J189" s="38" t="s">
        <v>1199</v>
      </c>
      <c r="K189" s="40" t="s">
        <v>1758</v>
      </c>
      <c r="L189" s="38" t="s">
        <v>1684</v>
      </c>
      <c r="M189" s="39" t="b">
        <v>1</v>
      </c>
    </row>
    <row r="190" spans="1:13" ht="27.95" customHeight="1">
      <c r="A190" s="38" t="s">
        <v>1117</v>
      </c>
      <c r="B190" s="38" t="s">
        <v>1121</v>
      </c>
      <c r="C190" s="38" t="s">
        <v>1765</v>
      </c>
      <c r="D190" s="38" t="s">
        <v>1766</v>
      </c>
      <c r="E190" s="39" t="s">
        <v>913</v>
      </c>
      <c r="F190" s="38" t="s">
        <v>1291</v>
      </c>
      <c r="G190" s="39">
        <v>300</v>
      </c>
      <c r="H190" s="38" t="s">
        <v>1767</v>
      </c>
      <c r="I190" s="38" t="s">
        <v>1768</v>
      </c>
      <c r="J190" s="38" t="s">
        <v>1199</v>
      </c>
      <c r="K190" s="40" t="s">
        <v>1334</v>
      </c>
      <c r="L190" s="38" t="s">
        <v>1684</v>
      </c>
      <c r="M190" s="39" t="b">
        <v>1</v>
      </c>
    </row>
    <row r="191" spans="1:13" ht="27.95" customHeight="1">
      <c r="A191" s="38" t="s">
        <v>1122</v>
      </c>
      <c r="B191" s="38" t="s">
        <v>1126</v>
      </c>
      <c r="C191" s="38" t="s">
        <v>1769</v>
      </c>
      <c r="D191" s="38" t="s">
        <v>1770</v>
      </c>
      <c r="E191" s="39" t="s">
        <v>913</v>
      </c>
      <c r="F191" s="38" t="s">
        <v>1291</v>
      </c>
      <c r="G191" s="39">
        <v>424</v>
      </c>
      <c r="H191" s="38" t="s">
        <v>1741</v>
      </c>
      <c r="I191" s="38" t="s">
        <v>1742</v>
      </c>
      <c r="J191" s="38" t="s">
        <v>1199</v>
      </c>
      <c r="K191" s="40" t="s">
        <v>1771</v>
      </c>
      <c r="L191" s="38" t="s">
        <v>1684</v>
      </c>
      <c r="M191" s="39" t="b">
        <v>1</v>
      </c>
    </row>
    <row r="192" spans="1:13" ht="27.95" customHeight="1">
      <c r="A192" s="38" t="s">
        <v>1127</v>
      </c>
      <c r="B192" s="38" t="s">
        <v>1131</v>
      </c>
      <c r="C192" s="38" t="s">
        <v>1769</v>
      </c>
      <c r="D192" s="38" t="s">
        <v>1772</v>
      </c>
      <c r="E192" s="39" t="s">
        <v>913</v>
      </c>
      <c r="F192" s="38" t="s">
        <v>1291</v>
      </c>
      <c r="G192" s="39">
        <v>424</v>
      </c>
      <c r="H192" s="38" t="s">
        <v>1741</v>
      </c>
      <c r="I192" s="38" t="s">
        <v>1742</v>
      </c>
      <c r="J192" s="38" t="s">
        <v>1199</v>
      </c>
      <c r="K192" s="40" t="s">
        <v>1771</v>
      </c>
      <c r="L192" s="38" t="s">
        <v>1684</v>
      </c>
      <c r="M192" s="39" t="b">
        <v>1</v>
      </c>
    </row>
    <row r="193" spans="1:13" ht="27.95" customHeight="1">
      <c r="A193" s="38" t="s">
        <v>1132</v>
      </c>
      <c r="B193" s="38" t="s">
        <v>1136</v>
      </c>
      <c r="C193" s="38" t="s">
        <v>1769</v>
      </c>
      <c r="D193" s="38" t="s">
        <v>1773</v>
      </c>
      <c r="E193" s="39" t="s">
        <v>913</v>
      </c>
      <c r="F193" s="38" t="s">
        <v>1291</v>
      </c>
      <c r="G193" s="39">
        <v>424</v>
      </c>
      <c r="H193" s="38" t="s">
        <v>1741</v>
      </c>
      <c r="I193" s="38" t="s">
        <v>1742</v>
      </c>
      <c r="J193" s="38" t="s">
        <v>1199</v>
      </c>
      <c r="K193" s="40" t="s">
        <v>1771</v>
      </c>
      <c r="L193" s="38" t="s">
        <v>1684</v>
      </c>
      <c r="M193" s="39" t="b">
        <v>1</v>
      </c>
    </row>
    <row r="194" spans="1:13" ht="27.95" customHeight="1">
      <c r="A194" s="38" t="s">
        <v>1137</v>
      </c>
      <c r="B194" s="38" t="s">
        <v>1141</v>
      </c>
      <c r="C194" s="38" t="s">
        <v>1769</v>
      </c>
      <c r="D194" s="38" t="s">
        <v>1774</v>
      </c>
      <c r="E194" s="39" t="s">
        <v>913</v>
      </c>
      <c r="F194" s="38" t="s">
        <v>1291</v>
      </c>
      <c r="G194" s="39">
        <v>424</v>
      </c>
      <c r="H194" s="38" t="s">
        <v>1741</v>
      </c>
      <c r="I194" s="38" t="s">
        <v>1742</v>
      </c>
      <c r="J194" s="38" t="s">
        <v>1199</v>
      </c>
      <c r="K194" s="40" t="s">
        <v>1771</v>
      </c>
      <c r="L194" s="38" t="s">
        <v>1684</v>
      </c>
      <c r="M194" s="39" t="b">
        <v>1</v>
      </c>
    </row>
    <row r="195" spans="1:13" ht="27.95" customHeight="1">
      <c r="A195" s="38" t="s">
        <v>1142</v>
      </c>
      <c r="B195" s="38" t="s">
        <v>1146</v>
      </c>
      <c r="C195" s="38" t="s">
        <v>1769</v>
      </c>
      <c r="D195" s="38" t="s">
        <v>1775</v>
      </c>
      <c r="E195" s="39" t="s">
        <v>913</v>
      </c>
      <c r="F195" s="38" t="s">
        <v>1291</v>
      </c>
      <c r="G195" s="39">
        <v>424</v>
      </c>
      <c r="H195" s="38" t="s">
        <v>1741</v>
      </c>
      <c r="I195" s="38" t="s">
        <v>1742</v>
      </c>
      <c r="J195" s="38" t="s">
        <v>1199</v>
      </c>
      <c r="K195" s="40" t="s">
        <v>1771</v>
      </c>
      <c r="L195" s="38" t="s">
        <v>1684</v>
      </c>
      <c r="M195" s="39" t="b">
        <v>1</v>
      </c>
    </row>
    <row r="196" spans="1:13" ht="27.95" customHeight="1">
      <c r="A196" s="38" t="s">
        <v>1147</v>
      </c>
      <c r="B196" s="38" t="s">
        <v>1152</v>
      </c>
      <c r="C196" s="38" t="s">
        <v>1776</v>
      </c>
      <c r="D196" s="38" t="s">
        <v>1777</v>
      </c>
      <c r="E196" s="39" t="s">
        <v>913</v>
      </c>
      <c r="F196" s="38" t="s">
        <v>1291</v>
      </c>
      <c r="G196" s="39">
        <v>424</v>
      </c>
      <c r="H196" s="38" t="s">
        <v>1741</v>
      </c>
      <c r="I196" s="38" t="s">
        <v>1778</v>
      </c>
      <c r="J196" s="38" t="s">
        <v>1199</v>
      </c>
      <c r="K196" s="40" t="s">
        <v>1702</v>
      </c>
      <c r="L196" s="38" t="s">
        <v>1684</v>
      </c>
      <c r="M196" s="39" t="b">
        <v>1</v>
      </c>
    </row>
    <row r="197" spans="1:13" ht="27.95" customHeight="1">
      <c r="A197" s="38" t="s">
        <v>1153</v>
      </c>
      <c r="B197" s="38" t="s">
        <v>1157</v>
      </c>
      <c r="C197" s="38" t="s">
        <v>1779</v>
      </c>
      <c r="D197" s="38" t="s">
        <v>1780</v>
      </c>
      <c r="E197" s="39" t="s">
        <v>913</v>
      </c>
      <c r="F197" s="38" t="s">
        <v>1291</v>
      </c>
      <c r="G197" s="39">
        <v>66</v>
      </c>
      <c r="H197" s="38" t="s">
        <v>1781</v>
      </c>
      <c r="I197" s="38" t="s">
        <v>1782</v>
      </c>
      <c r="J197" s="38" t="s">
        <v>1628</v>
      </c>
      <c r="K197" s="40" t="s">
        <v>1783</v>
      </c>
      <c r="L197" s="38" t="s">
        <v>1784</v>
      </c>
      <c r="M197" s="39" t="b">
        <v>0</v>
      </c>
    </row>
    <row r="198" spans="1:13" ht="27.95" customHeight="1">
      <c r="A198" s="38" t="s">
        <v>1158</v>
      </c>
      <c r="B198" s="38" t="s">
        <v>1162</v>
      </c>
      <c r="C198" s="38" t="s">
        <v>1785</v>
      </c>
      <c r="D198" s="38" t="s">
        <v>1786</v>
      </c>
      <c r="E198" s="39" t="s">
        <v>913</v>
      </c>
      <c r="F198" s="38" t="s">
        <v>1291</v>
      </c>
      <c r="G198" s="39">
        <v>66</v>
      </c>
      <c r="H198" s="38" t="s">
        <v>1781</v>
      </c>
      <c r="I198" s="38" t="s">
        <v>1782</v>
      </c>
      <c r="J198" s="38" t="s">
        <v>1628</v>
      </c>
      <c r="K198" s="40" t="s">
        <v>1787</v>
      </c>
      <c r="L198" s="38" t="s">
        <v>1784</v>
      </c>
      <c r="M198" s="39" t="b">
        <v>0</v>
      </c>
    </row>
    <row r="199" spans="1:13" ht="27.95" customHeight="1">
      <c r="A199" s="38" t="s">
        <v>1163</v>
      </c>
      <c r="B199" s="38" t="s">
        <v>1168</v>
      </c>
      <c r="C199" s="38" t="s">
        <v>1785</v>
      </c>
      <c r="D199" s="38" t="s">
        <v>1788</v>
      </c>
      <c r="E199" s="39" t="s">
        <v>913</v>
      </c>
      <c r="F199" s="38" t="s">
        <v>1291</v>
      </c>
      <c r="G199" s="39">
        <v>66</v>
      </c>
      <c r="H199" s="38" t="s">
        <v>1781</v>
      </c>
      <c r="I199" s="38" t="s">
        <v>1782</v>
      </c>
      <c r="J199" s="38" t="s">
        <v>1628</v>
      </c>
      <c r="K199" s="40" t="s">
        <v>1787</v>
      </c>
      <c r="L199" s="38" t="s">
        <v>1784</v>
      </c>
      <c r="M199" s="39" t="b">
        <v>0</v>
      </c>
    </row>
    <row r="200" spans="1:13" ht="27.95" customHeight="1">
      <c r="A200" s="38" t="s">
        <v>1169</v>
      </c>
      <c r="B200" s="38" t="s">
        <v>1173</v>
      </c>
      <c r="C200" s="38" t="s">
        <v>1789</v>
      </c>
      <c r="D200" s="38" t="s">
        <v>1790</v>
      </c>
      <c r="E200" s="39" t="s">
        <v>913</v>
      </c>
      <c r="F200" s="38" t="s">
        <v>1291</v>
      </c>
      <c r="G200" s="39">
        <v>424</v>
      </c>
      <c r="H200" s="38" t="s">
        <v>1741</v>
      </c>
      <c r="I200" s="38" t="s">
        <v>1742</v>
      </c>
      <c r="J200" s="38" t="s">
        <v>1199</v>
      </c>
      <c r="K200" s="40" t="s">
        <v>1791</v>
      </c>
      <c r="L200" s="38" t="s">
        <v>1684</v>
      </c>
      <c r="M200" s="39" t="b">
        <v>1</v>
      </c>
    </row>
    <row r="201" spans="1:13" ht="27.95" customHeight="1">
      <c r="A201" s="38" t="s">
        <v>1174</v>
      </c>
      <c r="B201" s="38" t="s">
        <v>1179</v>
      </c>
      <c r="C201" s="38" t="s">
        <v>1792</v>
      </c>
      <c r="D201" s="38" t="s">
        <v>1793</v>
      </c>
      <c r="E201" s="39" t="s">
        <v>913</v>
      </c>
      <c r="F201" s="38" t="s">
        <v>1291</v>
      </c>
      <c r="G201" s="39">
        <v>353</v>
      </c>
      <c r="H201" s="38" t="s">
        <v>1746</v>
      </c>
      <c r="I201" s="38" t="s">
        <v>1747</v>
      </c>
      <c r="J201" s="38" t="s">
        <v>1199</v>
      </c>
      <c r="K201" s="40" t="s">
        <v>1732</v>
      </c>
      <c r="L201" s="38" t="s">
        <v>1684</v>
      </c>
      <c r="M201" s="39" t="b">
        <v>1</v>
      </c>
    </row>
    <row r="202" spans="1:13" ht="27.95" customHeight="1">
      <c r="A202" s="38" t="s">
        <v>1180</v>
      </c>
      <c r="B202" s="38" t="s">
        <v>1184</v>
      </c>
      <c r="C202" s="38" t="s">
        <v>1794</v>
      </c>
      <c r="D202" s="38" t="s">
        <v>1795</v>
      </c>
      <c r="E202" s="39" t="s">
        <v>913</v>
      </c>
      <c r="F202" s="38" t="s">
        <v>1291</v>
      </c>
      <c r="G202" s="39">
        <v>227</v>
      </c>
      <c r="H202" s="38" t="s">
        <v>1796</v>
      </c>
      <c r="I202" s="38" t="s">
        <v>1797</v>
      </c>
      <c r="J202" s="38" t="s">
        <v>1798</v>
      </c>
      <c r="K202" s="40" t="s">
        <v>1799</v>
      </c>
      <c r="L202" s="38" t="s">
        <v>1784</v>
      </c>
      <c r="M202" s="39" t="b">
        <v>0</v>
      </c>
    </row>
  </sheetData>
  <autoFilter ref="A1:M20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22"/>
  <sheetViews>
    <sheetView showGridLines="0" workbookViewId="0"/>
  </sheetViews>
  <sheetFormatPr defaultRowHeight="15"/>
  <cols>
    <col min="1" max="1" width="3" customWidth="1"/>
    <col min="2" max="2" width="30" customWidth="1"/>
    <col min="3" max="3" width="20" customWidth="1"/>
    <col min="4" max="4" width="40" customWidth="1"/>
  </cols>
  <sheetData>
    <row r="2" spans="2:4" ht="32.1" customHeight="1">
      <c r="B2" s="71" t="s">
        <v>1800</v>
      </c>
      <c r="C2" s="72"/>
      <c r="D2" s="72"/>
    </row>
    <row r="4" spans="2:4" ht="26.1" customHeight="1">
      <c r="B4" s="70" t="s">
        <v>1801</v>
      </c>
      <c r="C4" s="73"/>
      <c r="D4" s="74"/>
    </row>
    <row r="5" spans="2:4" ht="21.95" customHeight="1">
      <c r="B5" s="41" t="s">
        <v>1802</v>
      </c>
      <c r="C5" s="42" t="s">
        <v>35</v>
      </c>
      <c r="D5" s="43"/>
    </row>
    <row r="6" spans="2:4" ht="21.95" customHeight="1">
      <c r="B6" s="41" t="s">
        <v>1803</v>
      </c>
      <c r="C6" s="42" t="s">
        <v>1804</v>
      </c>
      <c r="D6" s="43" t="s">
        <v>1805</v>
      </c>
    </row>
    <row r="7" spans="2:4" ht="21.95" customHeight="1">
      <c r="B7" s="41" t="s">
        <v>1806</v>
      </c>
      <c r="C7" s="42" t="s">
        <v>1807</v>
      </c>
      <c r="D7" s="43" t="s">
        <v>1808</v>
      </c>
    </row>
    <row r="9" spans="2:4" ht="26.1" customHeight="1">
      <c r="B9" s="70" t="s">
        <v>1809</v>
      </c>
      <c r="C9" s="73"/>
      <c r="D9" s="74"/>
    </row>
    <row r="10" spans="2:4" ht="24" customHeight="1">
      <c r="B10" s="44" t="s">
        <v>22</v>
      </c>
      <c r="C10" s="45" t="s">
        <v>24</v>
      </c>
      <c r="D10" s="46" t="s">
        <v>1808</v>
      </c>
    </row>
    <row r="11" spans="2:4" ht="24" customHeight="1">
      <c r="B11" s="47" t="s">
        <v>25</v>
      </c>
      <c r="C11" s="45" t="s">
        <v>27</v>
      </c>
      <c r="D11" s="46" t="s">
        <v>1810</v>
      </c>
    </row>
    <row r="12" spans="2:4" ht="24" customHeight="1">
      <c r="B12" s="48" t="s">
        <v>28</v>
      </c>
      <c r="C12" s="45" t="s">
        <v>30</v>
      </c>
      <c r="D12" s="46" t="s">
        <v>1811</v>
      </c>
    </row>
    <row r="13" spans="2:4" ht="24" customHeight="1">
      <c r="B13" s="49" t="s">
        <v>31</v>
      </c>
      <c r="C13" s="45" t="s">
        <v>33</v>
      </c>
      <c r="D13" s="46" t="s">
        <v>1812</v>
      </c>
    </row>
    <row r="15" spans="2:4" ht="26.1" customHeight="1">
      <c r="B15" s="70" t="s">
        <v>1813</v>
      </c>
      <c r="C15" s="73"/>
      <c r="D15" s="74"/>
    </row>
    <row r="16" spans="2:4" ht="24" customHeight="1">
      <c r="B16" s="50" t="s">
        <v>1814</v>
      </c>
      <c r="C16" s="45">
        <f>COUNTA('✅ 컨펌 시트'!I4:I204)</f>
        <v>0</v>
      </c>
      <c r="D16" s="46" t="str">
        <f>TEXT(COUNTA('✅ 컨펌 시트'!I4:I204)/201,"0%")</f>
        <v>0%</v>
      </c>
    </row>
    <row r="17" spans="2:4" ht="24" customHeight="1">
      <c r="B17" s="51" t="s">
        <v>1815</v>
      </c>
      <c r="C17" s="45">
        <f>COUNTA('✅ 컨펌 시트'!J4:J204)</f>
        <v>0</v>
      </c>
      <c r="D17" s="46" t="str">
        <f>TEXT(COUNTA('✅ 컨펌 시트'!J4:J204)/201,"0%")</f>
        <v>0%</v>
      </c>
    </row>
    <row r="18" spans="2:4" ht="24" customHeight="1">
      <c r="B18" s="52" t="s">
        <v>1816</v>
      </c>
      <c r="C18" s="45">
        <f>COUNTA('✅ 컨펌 시트'!K4:K204)</f>
        <v>0</v>
      </c>
      <c r="D18" s="46" t="str">
        <f>TEXT(COUNTA('✅ 컨펌 시트'!K4:K204)/201,"0%")</f>
        <v>0%</v>
      </c>
    </row>
    <row r="19" spans="2:4" ht="24" customHeight="1">
      <c r="B19" s="53" t="s">
        <v>1817</v>
      </c>
      <c r="C19" s="45">
        <f>201-COUNTA('✅ 컨펌 시트'!I4:K204)</f>
        <v>201</v>
      </c>
      <c r="D19" s="46" t="str">
        <f>TEXT((201-COUNTA('✅ 컨펌 시트'!I4:K204))/201,"0%")</f>
        <v>100%</v>
      </c>
    </row>
    <row r="21" spans="2:4" ht="26.1" customHeight="1">
      <c r="B21" s="70" t="s">
        <v>1818</v>
      </c>
      <c r="C21" s="73"/>
      <c r="D21" s="74"/>
    </row>
    <row r="22" spans="2:4" ht="32.1" customHeight="1">
      <c r="B22" s="54" t="s">
        <v>1819</v>
      </c>
      <c r="C22" s="55" t="str">
        <f>COUNTA('✅ 컨펌 시트'!I4:K204)&amp;" / 201"</f>
        <v>0 / 201</v>
      </c>
      <c r="D22" s="56" t="str">
        <f>TEXT(COUNTA('✅ 컨펌 시트'!I4:K204)/201,"0%")</f>
        <v>0%</v>
      </c>
    </row>
  </sheetData>
  <mergeCells count="5">
    <mergeCell ref="B4:D4"/>
    <mergeCell ref="B9:D9"/>
    <mergeCell ref="B21:D21"/>
    <mergeCell ref="B15:D15"/>
    <mergeCell ref="B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국승호</cp:lastModifiedBy>
  <cp:revision/>
  <dcterms:created xsi:type="dcterms:W3CDTF">2026-04-17T01:54:00Z</dcterms:created>
  <dcterms:modified xsi:type="dcterms:W3CDTF">2026-04-17T06:11:42Z</dcterms:modified>
  <cp:category/>
  <cp:contentStatus/>
</cp:coreProperties>
</file>